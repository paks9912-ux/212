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Инструкция" sheetId="1" state="visible" r:id="rId3"/>
    <sheet name="Допущения" sheetId="2" state="visible" r:id="rId4"/>
    <sheet name="Юнит-экономика" sheetId="3" state="visible" r:id="rId5"/>
    <sheet name="Прогноз" sheetId="4" state="visible" r:id="rId6"/>
    <sheet name="Чувствительность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7" authorId="0">
      <text>
        <r>
          <rPr>
            <sz val="10"/>
            <rFont val="Arial"/>
            <family val="2"/>
          </rPr>
          <t xml:space="preserve">Сколько заказов в месяц нужно, чтобы покрыть постоянные расходы. Считается по средней колонке H.</t>
        </r>
      </text>
    </comment>
  </commentList>
</comments>
</file>

<file path=xl/sharedStrings.xml><?xml version="1.0" encoding="utf-8"?>
<sst xmlns="http://schemas.openxmlformats.org/spreadsheetml/2006/main" count="258" uniqueCount="216">
  <si>
    <t xml:space="preserve">Калькулятор юнит-экономики: онлайн-магазин женских сумок, Ташкент</t>
  </si>
  <si>
    <t xml:space="preserve">Связан с бизнес-планом: все стартовые цифры совпадают с базовым сценарием плана (октябрь 2026).</t>
  </si>
  <si>
    <t xml:space="preserve">Как пользоваться</t>
  </si>
  <si>
    <t xml:space="preserve">1. «Допущения» — курсы, пошлина, доставка, реклама, канал продаж, постоянные расходы. Меняйте под свои данные.</t>
  </si>
  <si>
    <t xml:space="preserve">2. «Юнит-экономика» — по каждой модели: закупка в юанях, розничная цена, доля в продажах. Итог — сколько остаётся с заказа и точка безубыточности.</t>
  </si>
  <si>
    <t xml:space="preserve">3. «Прогноз» — введите план заказов и постоянных расходов по месяцам: увидите прибыль по месяцам и окупаемость стартовых вложений.</t>
  </si>
  <si>
    <t xml:space="preserve">4. «Чувствительность» — сколько заказов в месяц нужно при другой цене и другой стоимости рекламы.</t>
  </si>
  <si>
    <t xml:space="preserve">Обозначения</t>
  </si>
  <si>
    <t xml:space="preserve">Синий текст на жёлтом фоне — ячейки для ввода. Синий текст без заливки — тоже ввод, но второстепенный.</t>
  </si>
  <si>
    <t xml:space="preserve">Чёрный текст — формулы, не трогайте. Зелёный — ссылка на лист «Допущения».</t>
  </si>
  <si>
    <t xml:space="preserve">Голубая заливка — ключевые итоги. Красный текст — убыток или предупреждение.</t>
  </si>
  <si>
    <t xml:space="preserve">Что проверить в первую очередь</t>
  </si>
  <si>
    <t xml:space="preserve">• Ставку пошлины по коду 4202 — у таможенного брокера до оплаты фабрике (в расчёте 20%).</t>
  </si>
  <si>
    <t xml:space="preserve">• Цену фабрики и упаковки — по ответам 3–5 фабрик на 1688 или Alibaba.</t>
  </si>
  <si>
    <t xml:space="preserve">• Стоимость рекламы на заказ — по первым 2–4 неделям продаж.</t>
  </si>
  <si>
    <t xml:space="preserve">• Комиссию Uzum для категории «сумки» — в кабинете продавца, если переключаете канал на Uzum Market.</t>
  </si>
  <si>
    <t xml:space="preserve">Источники</t>
  </si>
  <si>
    <t xml:space="preserve">Курс доллара: uz.kursiv.media/2026-10-01/kurs-dollara-uzbekistan</t>
  </si>
  <si>
    <t xml:space="preserve">Пошлина на сумки (2018): norma.uz/raznoe/stavki_importnyh_tamojennyh_poshlin_kotorye_predlagaetsya_povysit</t>
  </si>
  <si>
    <t xml:space="preserve">НДС при ввозе 12%: uz2b.uz/en/blog/customs-duties-import-taxes-uzbekistan-2026</t>
  </si>
  <si>
    <t xml:space="preserve">Налог с оборота 1%: buxgalter.uz/publish/doc/text212712_nk-2026_izmeneniya_po_nalogu_s_oborota_dlya_ip_i_samozanyatyh</t>
  </si>
  <si>
    <t xml:space="preserve">Комиссии и логистика Uzum: billz.io/blog/marketplace-uzbekistana-kakoy-vybrat</t>
  </si>
  <si>
    <t xml:space="preserve">Допущения: общие для всех моделей</t>
  </si>
  <si>
    <t xml:space="preserve">Синие цифры на жёлтом фоне — вводите свои значения. Остальные листы пересчитаются сами.</t>
  </si>
  <si>
    <t xml:space="preserve">Параметр</t>
  </si>
  <si>
    <t xml:space="preserve">Значение</t>
  </si>
  <si>
    <t xml:space="preserve">Единица</t>
  </si>
  <si>
    <t xml:space="preserve">Источник / комментарий</t>
  </si>
  <si>
    <t xml:space="preserve">Курсы валют</t>
  </si>
  <si>
    <t xml:space="preserve">Курс доллара</t>
  </si>
  <si>
    <t xml:space="preserve">сум за $1</t>
  </si>
  <si>
    <t xml:space="preserve">ЦБ Узбекистана на 01.10.2026: 11 808,76 сума (uz.kursiv.media). Обновляйте перед каждой закупкой.</t>
  </si>
  <si>
    <t xml:space="preserve">Курс юаня</t>
  </si>
  <si>
    <t xml:space="preserve">сум за ¥1</t>
  </si>
  <si>
    <t xml:space="preserve">Допущение: курс доллара / ~7,15. Уточните курс у байера или банка перед оплатой фабрике.</t>
  </si>
  <si>
    <t xml:space="preserve">Закупка и ввоз</t>
  </si>
  <si>
    <t xml:space="preserve">Комиссия байера</t>
  </si>
  <si>
    <t xml:space="preserve">% от закупки</t>
  </si>
  <si>
    <t xml:space="preserve">Допущение. Обычная ставка байера — несколько процентов от суммы заказа.</t>
  </si>
  <si>
    <t xml:space="preserve">Упаковка: пыльник, коробка, карточка</t>
  </si>
  <si>
    <t xml:space="preserve">¥ за сумку</t>
  </si>
  <si>
    <t xml:space="preserve">Допущение: заказ упаковки у той же фабрики.</t>
  </si>
  <si>
    <t xml:space="preserve">Доставка Китай → Ташкент</t>
  </si>
  <si>
    <t xml:space="preserve">$ за сумку</t>
  </si>
  <si>
    <t xml:space="preserve">Допущение: около 1 кг с упаковкой, автодоставка с документами («белый» ввоз).</t>
  </si>
  <si>
    <t xml:space="preserve">Таможенная пошлина</t>
  </si>
  <si>
    <t xml:space="preserve">% от тамож. стоимости</t>
  </si>
  <si>
    <t xml:space="preserve">Рабочее допущение. В 2018 году на дамские сумки (код 4202) было 15%, но не менее $1,5 за шт., обсуждалось повышение до 20% (norma.uz). Актуальную ставку подтвердит брокер.</t>
  </si>
  <si>
    <t xml:space="preserve">Минимальная пошлина</t>
  </si>
  <si>
    <t xml:space="preserve">Из той же нормы 2018 года (norma.uz). Если пошлина по % меньше — берётся минимум.</t>
  </si>
  <si>
    <t xml:space="preserve">НДС при ввозе</t>
  </si>
  <si>
    <t xml:space="preserve">%</t>
  </si>
  <si>
    <t xml:space="preserve">12% от таможенной стоимости с пошлиной (uz2b.uz). ИП на налоге с оборота его не возвращает.</t>
  </si>
  <si>
    <t xml:space="preserve">Брокер, документы, сертификация</t>
  </si>
  <si>
    <t xml:space="preserve">сум за сумку</t>
  </si>
  <si>
    <t xml:space="preserve">Допущение: расходы на оформление партии, разделённые на число сумок в ней.</t>
  </si>
  <si>
    <t xml:space="preserve">Продажа</t>
  </si>
  <si>
    <t xml:space="preserve">Канал продаж</t>
  </si>
  <si>
    <t xml:space="preserve">Свой магазин</t>
  </si>
  <si>
    <t xml:space="preserve">выбор из списка</t>
  </si>
  <si>
    <t xml:space="preserve">«Свой магазин» — Telegram и Instagram с курьером. «Uzum Market» — комиссия и логистика маркетплейса.</t>
  </si>
  <si>
    <t xml:space="preserve">Средняя скидка от цены</t>
  </si>
  <si>
    <t xml:space="preserve">% от цены</t>
  </si>
  <si>
    <t xml:space="preserve">0% — продаём без скидок. Поставьте, например, 15%, чтобы увидеть эффект акций.</t>
  </si>
  <si>
    <t xml:space="preserve">Доставка клиентке по Ташкенту</t>
  </si>
  <si>
    <t xml:space="preserve">сум за заказ</t>
  </si>
  <si>
    <t xml:space="preserve">Допущение: курьер, бесплатно для клиентки. Для Uzum вместо неё берётся логистика Uzum.</t>
  </si>
  <si>
    <t xml:space="preserve">Доля отказов при осмотре</t>
  </si>
  <si>
    <t xml:space="preserve">% заказов</t>
  </si>
  <si>
    <t xml:space="preserve">Допущение. Отказ = ещё одна поездка курьера впустую; сумка возвращается на склад.</t>
  </si>
  <si>
    <t xml:space="preserve">Налог с оборота (ИП)</t>
  </si>
  <si>
    <t xml:space="preserve">% от выручки</t>
  </si>
  <si>
    <t xml:space="preserve">1% при обороте до 1 млрд сум в год (buxgalter.uz, НК 2026). Выше — НДС и налог на прибыль.</t>
  </si>
  <si>
    <t xml:space="preserve">Комиссия за оплату (Click, Payme)</t>
  </si>
  <si>
    <t xml:space="preserve">Допущение. Для Uzum не применяется: оплата внутри маркетплейса.</t>
  </si>
  <si>
    <t xml:space="preserve">Реклама на один заказ (CAC)</t>
  </si>
  <si>
    <t xml:space="preserve">Допущение: таргет, блогеры, посевы в Telegram. Считайте фактическую по неделям.</t>
  </si>
  <si>
    <t xml:space="preserve">Комиссия Uzum Market</t>
  </si>
  <si>
    <t xml:space="preserve">Допущение. Uzum берёт 3–35% в зависимости от категории (billz.io). Уточните в кабинете продавца.</t>
  </si>
  <si>
    <t xml:space="preserve">Логистика Uzum</t>
  </si>
  <si>
    <t xml:space="preserve">Около 8 000 сум за единицу (billz.io); зависит от размера товара.</t>
  </si>
  <si>
    <t xml:space="preserve">Постоянные расходы в месяц (полная загрузка)</t>
  </si>
  <si>
    <t xml:space="preserve">Контент: видеограф, героини, реквизит</t>
  </si>
  <si>
    <t xml:space="preserve">сум в месяц</t>
  </si>
  <si>
    <t xml:space="preserve">Съёмки фильмов без слов, ASMR, фото.</t>
  </si>
  <si>
    <t xml:space="preserve">Менеджер заказов</t>
  </si>
  <si>
    <t xml:space="preserve">Telegram, подтверждение заказов, курьеры.</t>
  </si>
  <si>
    <t xml:space="preserve">Хранение товара</t>
  </si>
  <si>
    <t xml:space="preserve">Склад или кладовая.</t>
  </si>
  <si>
    <t xml:space="preserve">Сервисы: бот, сайт, учёт</t>
  </si>
  <si>
    <t xml:space="preserve">Бухгалтер на аутсорсе</t>
  </si>
  <si>
    <t xml:space="preserve">Прочее</t>
  </si>
  <si>
    <t xml:space="preserve">Связь, расходники, мелочи.</t>
  </si>
  <si>
    <t xml:space="preserve">Итого постоянные расходы</t>
  </si>
  <si>
    <t xml:space="preserve">Зарплаты основателей не включены.</t>
  </si>
  <si>
    <t xml:space="preserve">Юнит-экономика: сколько остаётся с одной сумки</t>
  </si>
  <si>
    <t xml:space="preserve">Суммы в сумах на одну сумку (один заказ). Синие ячейки — ввод, чёрные — формулы, зелёные — ссылки на «Допущения».</t>
  </si>
  <si>
    <t xml:space="preserve">Показатель</t>
  </si>
  <si>
    <t xml:space="preserve">Ед.</t>
  </si>
  <si>
    <t xml:space="preserve">Выход и той</t>
  </si>
  <si>
    <t xml:space="preserve">Каждый день</t>
  </si>
  <si>
    <t xml:space="preserve">Спорт</t>
  </si>
  <si>
    <t xml:space="preserve">Мама</t>
  </si>
  <si>
    <t xml:space="preserve">Работа</t>
  </si>
  <si>
    <t xml:space="preserve">Средняя по долям</t>
  </si>
  <si>
    <t xml:space="preserve">Как считается</t>
  </si>
  <si>
    <t xml:space="preserve">Вводные по модели</t>
  </si>
  <si>
    <t xml:space="preserve">Закупка на фабрике</t>
  </si>
  <si>
    <t xml:space="preserve">¥</t>
  </si>
  <si>
    <t xml:space="preserve">Цена фабрики за 1 шт. без доставки. Пример — из бизнес-плана.</t>
  </si>
  <si>
    <t xml:space="preserve">Розничная цена</t>
  </si>
  <si>
    <t xml:space="preserve">сум</t>
  </si>
  <si>
    <t xml:space="preserve">Цена на витрине до скидки.</t>
  </si>
  <si>
    <t xml:space="preserve">Доля в продажах</t>
  </si>
  <si>
    <t xml:space="preserve">Себестоимость в Ташкенте</t>
  </si>
  <si>
    <t xml:space="preserve">Закупка</t>
  </si>
  <si>
    <t xml:space="preserve">¥ × курс юаня</t>
  </si>
  <si>
    <t xml:space="preserve">Байер</t>
  </si>
  <si>
    <t xml:space="preserve">закупка × комиссия байера</t>
  </si>
  <si>
    <t xml:space="preserve">¥ упаковки × курс юаня</t>
  </si>
  <si>
    <t xml:space="preserve">$ за сумку × курс доллара</t>
  </si>
  <si>
    <t xml:space="preserve">Таможенная стоимость (база для пошлины)</t>
  </si>
  <si>
    <t xml:space="preserve">справочно: закупка + упаковка + доставка; в итог не входит</t>
  </si>
  <si>
    <t xml:space="preserve">Пошлина</t>
  </si>
  <si>
    <t xml:space="preserve">большее из: тамож. стоимость × ставка или минимум $ за шт.</t>
  </si>
  <si>
    <t xml:space="preserve">(тамож. стоимость + пошлина) × НДС</t>
  </si>
  <si>
    <t xml:space="preserve">из «Допущений»</t>
  </si>
  <si>
    <t xml:space="preserve">Себестоимость сумки в Ташкенте</t>
  </si>
  <si>
    <t xml:space="preserve">сумма строк выше, кроме справочной</t>
  </si>
  <si>
    <t xml:space="preserve">Продажа одного заказа</t>
  </si>
  <si>
    <t xml:space="preserve">Цена после скидки</t>
  </si>
  <si>
    <t xml:space="preserve">розничная цена × (1 − скидка)</t>
  </si>
  <si>
    <t xml:space="preserve">Доставка клиентке</t>
  </si>
  <si>
    <t xml:space="preserve">свой магазин — курьер; Uzum — логистика маркетплейса</t>
  </si>
  <si>
    <t xml:space="preserve">Отказы при осмотре</t>
  </si>
  <si>
    <t xml:space="preserve">доставка × доля отказов: лишние поездки на каждый заказ</t>
  </si>
  <si>
    <t xml:space="preserve">Налог с оборота</t>
  </si>
  <si>
    <t xml:space="preserve">цена после скидки × ставка</t>
  </si>
  <si>
    <t xml:space="preserve">Комиссия за оплату</t>
  </si>
  <si>
    <t xml:space="preserve">Click, Payme; на Uzum — 0</t>
  </si>
  <si>
    <t xml:space="preserve">Комиссия маркетплейса</t>
  </si>
  <si>
    <t xml:space="preserve">только для Uzum Market</t>
  </si>
  <si>
    <t xml:space="preserve">Реклама на один заказ</t>
  </si>
  <si>
    <t xml:space="preserve">Расходы на продажу</t>
  </si>
  <si>
    <t xml:space="preserve">сумма строк выше</t>
  </si>
  <si>
    <t xml:space="preserve">Результат</t>
  </si>
  <si>
    <t xml:space="preserve">Остаётся с заказа</t>
  </si>
  <si>
    <t xml:space="preserve">цена после скидки − себестоимость − расходы на продажу; до постоянных расходов</t>
  </si>
  <si>
    <t xml:space="preserve">Доля от цены</t>
  </si>
  <si>
    <t xml:space="preserve">остаётся с заказа / цена после скидки</t>
  </si>
  <si>
    <t xml:space="preserve">Наценка: цена / себестоимость</t>
  </si>
  <si>
    <t xml:space="preserve">раз</t>
  </si>
  <si>
    <t xml:space="preserve">в моде обычно нужна наценка от 2 раз, чтобы покрыть продажу и рекламу</t>
  </si>
  <si>
    <t xml:space="preserve">Предельная реклама на заказ</t>
  </si>
  <si>
    <t xml:space="preserve">при такой рекламе на заказ модель выходит в ноль</t>
  </si>
  <si>
    <t xml:space="preserve">Минимальная розничная цена</t>
  </si>
  <si>
    <t xml:space="preserve">цена до скидки, при которой с заказа остаётся 0 (без постоянных расходов)</t>
  </si>
  <si>
    <t xml:space="preserve">Безубыточность</t>
  </si>
  <si>
    <t xml:space="preserve">Постоянные расходы в месяц</t>
  </si>
  <si>
    <t xml:space="preserve">Точка безубыточности</t>
  </si>
  <si>
    <t xml:space="preserve">заказов в мес.</t>
  </si>
  <si>
    <t xml:space="preserve">постоянные расходы / средний доход с заказа (колонка H)</t>
  </si>
  <si>
    <t xml:space="preserve">То же в день</t>
  </si>
  <si>
    <t xml:space="preserve">заказов в день</t>
  </si>
  <si>
    <t xml:space="preserve">при 30 днях в месяце</t>
  </si>
  <si>
    <t xml:space="preserve">Прогноз на 12 месяцев: заказы → прибыль</t>
  </si>
  <si>
    <t xml:space="preserve">Вводите заказы и постоянные расходы по месяцам (синие ячейки). Доход с заказа берётся из колонки «Средняя» листа «Юнит-экономика».</t>
  </si>
  <si>
    <t xml:space="preserve">Показатель, сум</t>
  </si>
  <si>
    <t xml:space="preserve">янв 2027</t>
  </si>
  <si>
    <t xml:space="preserve">фев 2027</t>
  </si>
  <si>
    <t xml:space="preserve">мар 2027</t>
  </si>
  <si>
    <t xml:space="preserve">апр 2027</t>
  </si>
  <si>
    <t xml:space="preserve">май 2027</t>
  </si>
  <si>
    <t xml:space="preserve">июн 2027</t>
  </si>
  <si>
    <t xml:space="preserve">июл 2027</t>
  </si>
  <si>
    <t xml:space="preserve">авг 2027</t>
  </si>
  <si>
    <t xml:space="preserve">сен 2027</t>
  </si>
  <si>
    <t xml:space="preserve">окт 2027</t>
  </si>
  <si>
    <t xml:space="preserve">ноя 2027</t>
  </si>
  <si>
    <t xml:space="preserve">дек 2027</t>
  </si>
  <si>
    <t xml:space="preserve">Итого за год</t>
  </si>
  <si>
    <t xml:space="preserve">Заказов в месяц</t>
  </si>
  <si>
    <t xml:space="preserve">Постоянные расходы</t>
  </si>
  <si>
    <t xml:space="preserve">Выручка</t>
  </si>
  <si>
    <t xml:space="preserve">Себестоимость проданных сумок</t>
  </si>
  <si>
    <t xml:space="preserve">Расходы на продажу (доставка, налог, реклама…)</t>
  </si>
  <si>
    <t xml:space="preserve">Остаётся с заказов</t>
  </si>
  <si>
    <t xml:space="preserve">Операционная прибыль</t>
  </si>
  <si>
    <t xml:space="preserve">Накопленная операционная прибыль</t>
  </si>
  <si>
    <t xml:space="preserve">Месяцев с прибылью</t>
  </si>
  <si>
    <t xml:space="preserve">Оборот за год против порога налога с оборота</t>
  </si>
  <si>
    <t xml:space="preserve">Стартовые вложения (до запуска)</t>
  </si>
  <si>
    <t xml:space="preserve">Образцы: около 15 шт. с экспресс-доставкой</t>
  </si>
  <si>
    <t xml:space="preserve">Бренд: имя, логотип, дизайн упаковки</t>
  </si>
  <si>
    <t xml:space="preserve">Регистрация ИП, брокер, резерв на сертификацию</t>
  </si>
  <si>
    <t xml:space="preserve">Telegram-бот и сайт-каталог</t>
  </si>
  <si>
    <t xml:space="preserve">Запускная съёмка пяти сценариев</t>
  </si>
  <si>
    <t xml:space="preserve">Реклама и блогеры до запуска</t>
  </si>
  <si>
    <t xml:space="preserve">Вложения без товара</t>
  </si>
  <si>
    <t xml:space="preserve">Первая партия, шт.</t>
  </si>
  <si>
    <t xml:space="preserve">Первая партия, сум</t>
  </si>
  <si>
    <t xml:space="preserve">шт. × средняя себестоимость</t>
  </si>
  <si>
    <t xml:space="preserve">Всего до запуска</t>
  </si>
  <si>
    <t xml:space="preserve">Результат с учётом вложений без товара</t>
  </si>
  <si>
    <t xml:space="preserve">служебная строка: номер месяца, если результат ≥ 0</t>
  </si>
  <si>
    <t xml:space="preserve">Окупаемость вложений без товара</t>
  </si>
  <si>
    <t xml:space="preserve">Товар на складе не считаем расходом: это деньги, которые вернутся с продажами.</t>
  </si>
  <si>
    <t xml:space="preserve">Точка безубыточности: заказов в месяц</t>
  </si>
  <si>
    <t xml:space="preserve">Как меняется нужное число заказов, если сдвинуть цену (столбцы) и стоимость рекламы на заказ (строки). Постоянные расходы — из «Допущений».</t>
  </si>
  <si>
    <t xml:space="preserve">Средняя цена после скидки</t>
  </si>
  <si>
    <t xml:space="preserve">Средняя себестоимость в Ташкенте</t>
  </si>
  <si>
    <t xml:space="preserve">Доставка и отказы на заказ</t>
  </si>
  <si>
    <t xml:space="preserve">Налоги и комиссии, % от цены</t>
  </si>
  <si>
    <t xml:space="preserve">Реклама на заказ, сум ↓ / цена →</t>
  </si>
  <si>
    <t xml:space="preserve">Столбец «0%» и строка с текущей рекламой из «Допущений» — базовый расчёт. Зелёное — меньше заказов нужно, красное — больше.</t>
  </si>
  <si>
    <t xml:space="preserve">Цифры в заголовках (сдвиг цены и реклама) можно менять.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</si>
</sst>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–"/>
    <numFmt numFmtId="166" formatCode="0.0%;\(0.0%\);\–"/>
    <numFmt numFmtId="167" formatCode="#,##0.0;\(#,##0.0\);\–"/>
    <numFmt numFmtId="168" formatCode="#,##0.00;\(#,##0.00\);\–"/>
    <numFmt numFmtId="169" formatCode="0.00\x"/>
    <numFmt numFmtId="170" formatCode="0.0"/>
    <numFmt numFmtId="171" formatCode="\+0%;\-0%;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8"/>
      <color rgb="FFA6A6A6"/>
      <name val="Arial"/>
      <family val="0"/>
      <charset val="1"/>
    </font>
    <font>
      <sz val="8"/>
      <color rgb="FFA6A6A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C00000"/>
      </font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A11" s="5"/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s">
        <v>27</v>
      </c>
    </row>
    <row r="5" customFormat="false" ht="15" hidden="false" customHeight="false" outlineLevel="0" collapsed="false">
      <c r="A5" s="7" t="s">
        <v>28</v>
      </c>
      <c r="B5" s="8"/>
      <c r="C5" s="8"/>
      <c r="D5" s="8"/>
    </row>
    <row r="6" customFormat="false" ht="15" hidden="false" customHeight="false" outlineLevel="0" collapsed="false">
      <c r="A6" s="9" t="s">
        <v>29</v>
      </c>
      <c r="B6" s="10" t="n">
        <v>11800</v>
      </c>
      <c r="C6" s="11" t="s">
        <v>30</v>
      </c>
      <c r="D6" s="12" t="s">
        <v>31</v>
      </c>
    </row>
    <row r="7" customFormat="false" ht="15" hidden="false" customHeight="false" outlineLevel="0" collapsed="false">
      <c r="A7" s="9" t="s">
        <v>32</v>
      </c>
      <c r="B7" s="10" t="n">
        <v>1650</v>
      </c>
      <c r="C7" s="11" t="s">
        <v>33</v>
      </c>
      <c r="D7" s="12" t="s">
        <v>34</v>
      </c>
    </row>
    <row r="9" customFormat="false" ht="15" hidden="false" customHeight="false" outlineLevel="0" collapsed="false">
      <c r="A9" s="7" t="s">
        <v>35</v>
      </c>
      <c r="B9" s="8"/>
      <c r="C9" s="8"/>
      <c r="D9" s="8"/>
    </row>
    <row r="10" customFormat="false" ht="15" hidden="false" customHeight="false" outlineLevel="0" collapsed="false">
      <c r="A10" s="9" t="s">
        <v>36</v>
      </c>
      <c r="B10" s="13" t="n">
        <v>0.05</v>
      </c>
      <c r="C10" s="11" t="s">
        <v>37</v>
      </c>
      <c r="D10" s="12" t="s">
        <v>38</v>
      </c>
    </row>
    <row r="11" customFormat="false" ht="15" hidden="false" customHeight="false" outlineLevel="0" collapsed="false">
      <c r="A11" s="9" t="s">
        <v>39</v>
      </c>
      <c r="B11" s="14" t="n">
        <v>14</v>
      </c>
      <c r="C11" s="11" t="s">
        <v>40</v>
      </c>
      <c r="D11" s="12" t="s">
        <v>41</v>
      </c>
    </row>
    <row r="12" customFormat="false" ht="15" hidden="false" customHeight="false" outlineLevel="0" collapsed="false">
      <c r="A12" s="9" t="s">
        <v>42</v>
      </c>
      <c r="B12" s="15" t="n">
        <v>3.4</v>
      </c>
      <c r="C12" s="11" t="s">
        <v>43</v>
      </c>
      <c r="D12" s="12" t="s">
        <v>44</v>
      </c>
    </row>
    <row r="13" customFormat="false" ht="23.85" hidden="false" customHeight="false" outlineLevel="0" collapsed="false">
      <c r="A13" s="9" t="s">
        <v>45</v>
      </c>
      <c r="B13" s="13" t="n">
        <v>0.2</v>
      </c>
      <c r="C13" s="11" t="s">
        <v>46</v>
      </c>
      <c r="D13" s="12" t="s">
        <v>47</v>
      </c>
    </row>
    <row r="14" customFormat="false" ht="15" hidden="false" customHeight="false" outlineLevel="0" collapsed="false">
      <c r="A14" s="9" t="s">
        <v>48</v>
      </c>
      <c r="B14" s="15" t="n">
        <v>1.5</v>
      </c>
      <c r="C14" s="11" t="s">
        <v>43</v>
      </c>
      <c r="D14" s="12" t="s">
        <v>49</v>
      </c>
    </row>
    <row r="15" customFormat="false" ht="15" hidden="false" customHeight="false" outlineLevel="0" collapsed="false">
      <c r="A15" s="9" t="s">
        <v>50</v>
      </c>
      <c r="B15" s="13" t="n">
        <v>0.12</v>
      </c>
      <c r="C15" s="11" t="s">
        <v>51</v>
      </c>
      <c r="D15" s="12" t="s">
        <v>52</v>
      </c>
    </row>
    <row r="16" customFormat="false" ht="15" hidden="false" customHeight="false" outlineLevel="0" collapsed="false">
      <c r="A16" s="9" t="s">
        <v>53</v>
      </c>
      <c r="B16" s="10" t="n">
        <v>10000</v>
      </c>
      <c r="C16" s="11" t="s">
        <v>54</v>
      </c>
      <c r="D16" s="12" t="s">
        <v>55</v>
      </c>
    </row>
    <row r="18" customFormat="false" ht="15" hidden="false" customHeight="false" outlineLevel="0" collapsed="false">
      <c r="A18" s="7" t="s">
        <v>56</v>
      </c>
      <c r="B18" s="8"/>
      <c r="C18" s="8"/>
      <c r="D18" s="8"/>
    </row>
    <row r="19" customFormat="false" ht="15" hidden="false" customHeight="false" outlineLevel="0" collapsed="false">
      <c r="A19" s="9" t="s">
        <v>57</v>
      </c>
      <c r="B19" s="16" t="s">
        <v>58</v>
      </c>
      <c r="C19" s="11" t="s">
        <v>59</v>
      </c>
      <c r="D19" s="12" t="s">
        <v>60</v>
      </c>
    </row>
    <row r="20" customFormat="false" ht="15" hidden="false" customHeight="false" outlineLevel="0" collapsed="false">
      <c r="A20" s="9" t="s">
        <v>61</v>
      </c>
      <c r="B20" s="13" t="n">
        <v>0</v>
      </c>
      <c r="C20" s="11" t="s">
        <v>62</v>
      </c>
      <c r="D20" s="12" t="s">
        <v>63</v>
      </c>
    </row>
    <row r="21" customFormat="false" ht="15" hidden="false" customHeight="false" outlineLevel="0" collapsed="false">
      <c r="A21" s="9" t="s">
        <v>64</v>
      </c>
      <c r="B21" s="10" t="n">
        <v>30000</v>
      </c>
      <c r="C21" s="11" t="s">
        <v>65</v>
      </c>
      <c r="D21" s="12" t="s">
        <v>66</v>
      </c>
    </row>
    <row r="22" customFormat="false" ht="15" hidden="false" customHeight="false" outlineLevel="0" collapsed="false">
      <c r="A22" s="9" t="s">
        <v>67</v>
      </c>
      <c r="B22" s="13" t="n">
        <v>0.08</v>
      </c>
      <c r="C22" s="11" t="s">
        <v>68</v>
      </c>
      <c r="D22" s="12" t="s">
        <v>69</v>
      </c>
    </row>
    <row r="23" customFormat="false" ht="15" hidden="false" customHeight="false" outlineLevel="0" collapsed="false">
      <c r="A23" s="9" t="s">
        <v>70</v>
      </c>
      <c r="B23" s="13" t="n">
        <v>0.01</v>
      </c>
      <c r="C23" s="11" t="s">
        <v>71</v>
      </c>
      <c r="D23" s="12" t="s">
        <v>72</v>
      </c>
    </row>
    <row r="24" customFormat="false" ht="15" hidden="false" customHeight="false" outlineLevel="0" collapsed="false">
      <c r="A24" s="9" t="s">
        <v>73</v>
      </c>
      <c r="B24" s="13" t="n">
        <v>0.01</v>
      </c>
      <c r="C24" s="11" t="s">
        <v>71</v>
      </c>
      <c r="D24" s="12" t="s">
        <v>74</v>
      </c>
    </row>
    <row r="25" customFormat="false" ht="15" hidden="false" customHeight="false" outlineLevel="0" collapsed="false">
      <c r="A25" s="9" t="s">
        <v>75</v>
      </c>
      <c r="B25" s="10" t="n">
        <v>70000</v>
      </c>
      <c r="C25" s="11" t="s">
        <v>65</v>
      </c>
      <c r="D25" s="12" t="s">
        <v>76</v>
      </c>
    </row>
    <row r="26" customFormat="false" ht="15" hidden="false" customHeight="false" outlineLevel="0" collapsed="false">
      <c r="A26" s="9" t="s">
        <v>77</v>
      </c>
      <c r="B26" s="13" t="n">
        <v>0.2</v>
      </c>
      <c r="C26" s="11" t="s">
        <v>62</v>
      </c>
      <c r="D26" s="12" t="s">
        <v>78</v>
      </c>
    </row>
    <row r="27" customFormat="false" ht="15" hidden="false" customHeight="false" outlineLevel="0" collapsed="false">
      <c r="A27" s="9" t="s">
        <v>79</v>
      </c>
      <c r="B27" s="10" t="n">
        <v>8000</v>
      </c>
      <c r="C27" s="11" t="s">
        <v>65</v>
      </c>
      <c r="D27" s="12" t="s">
        <v>80</v>
      </c>
    </row>
    <row r="29" customFormat="false" ht="15" hidden="false" customHeight="false" outlineLevel="0" collapsed="false">
      <c r="A29" s="7" t="s">
        <v>81</v>
      </c>
      <c r="B29" s="8"/>
      <c r="C29" s="8"/>
      <c r="D29" s="8"/>
    </row>
    <row r="30" customFormat="false" ht="15" hidden="false" customHeight="false" outlineLevel="0" collapsed="false">
      <c r="A30" s="9" t="s">
        <v>82</v>
      </c>
      <c r="B30" s="17" t="n">
        <v>8000000</v>
      </c>
      <c r="C30" s="11" t="s">
        <v>83</v>
      </c>
      <c r="D30" s="12" t="s">
        <v>84</v>
      </c>
    </row>
    <row r="31" customFormat="false" ht="15" hidden="false" customHeight="false" outlineLevel="0" collapsed="false">
      <c r="A31" s="9" t="s">
        <v>85</v>
      </c>
      <c r="B31" s="17" t="n">
        <v>5000000</v>
      </c>
      <c r="C31" s="11" t="s">
        <v>83</v>
      </c>
      <c r="D31" s="12" t="s">
        <v>86</v>
      </c>
    </row>
    <row r="32" customFormat="false" ht="15" hidden="false" customHeight="false" outlineLevel="0" collapsed="false">
      <c r="A32" s="9" t="s">
        <v>87</v>
      </c>
      <c r="B32" s="17" t="n">
        <v>1500000</v>
      </c>
      <c r="C32" s="11" t="s">
        <v>83</v>
      </c>
      <c r="D32" s="12" t="s">
        <v>88</v>
      </c>
    </row>
    <row r="33" customFormat="false" ht="15" hidden="false" customHeight="false" outlineLevel="0" collapsed="false">
      <c r="A33" s="9" t="s">
        <v>89</v>
      </c>
      <c r="B33" s="17" t="n">
        <v>500000</v>
      </c>
      <c r="C33" s="11" t="s">
        <v>83</v>
      </c>
      <c r="D33" s="12"/>
    </row>
    <row r="34" customFormat="false" ht="15" hidden="false" customHeight="false" outlineLevel="0" collapsed="false">
      <c r="A34" s="9" t="s">
        <v>90</v>
      </c>
      <c r="B34" s="17" t="n">
        <v>1000000</v>
      </c>
      <c r="C34" s="11" t="s">
        <v>83</v>
      </c>
      <c r="D34" s="12"/>
    </row>
    <row r="35" customFormat="false" ht="15" hidden="false" customHeight="false" outlineLevel="0" collapsed="false">
      <c r="A35" s="9" t="s">
        <v>91</v>
      </c>
      <c r="B35" s="17" t="n">
        <v>1000000</v>
      </c>
      <c r="C35" s="11" t="s">
        <v>83</v>
      </c>
      <c r="D35" s="12" t="s">
        <v>92</v>
      </c>
    </row>
    <row r="36" customFormat="false" ht="15" hidden="false" customHeight="false" outlineLevel="0" collapsed="false">
      <c r="A36" s="18" t="s">
        <v>93</v>
      </c>
      <c r="B36" s="19" t="n">
        <f aca="false">SUM(B30:B35)</f>
        <v>17000000</v>
      </c>
      <c r="C36" s="11" t="s">
        <v>83</v>
      </c>
      <c r="D36" s="11" t="s">
        <v>94</v>
      </c>
    </row>
  </sheetData>
  <dataValidations count="1">
    <dataValidation allowBlank="false" errorStyle="stop" operator="between" showDropDown="false" showErrorMessage="false" showInputMessage="false" sqref="B19" type="list">
      <formula1>"Свой магазин,Uzum Market"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5"/>
    <col collapsed="false" customWidth="true" hidden="false" outlineLevel="0" max="8" min="8" style="0" width="17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3" customFormat="false" ht="15" hidden="false" customHeight="false" outlineLevel="0" collapsed="false">
      <c r="A3" s="20" t="str">
        <f aca="false">"Канал продаж: "&amp;Допущения!$B$19</f>
        <v>Канал продаж: Свой магазин</v>
      </c>
    </row>
    <row r="4" customFormat="false" ht="30" hidden="false" customHeight="true" outlineLevel="0" collapsed="false">
      <c r="A4" s="21" t="s">
        <v>97</v>
      </c>
      <c r="B4" s="21" t="s">
        <v>98</v>
      </c>
      <c r="C4" s="22" t="s">
        <v>99</v>
      </c>
      <c r="D4" s="22" t="s">
        <v>100</v>
      </c>
      <c r="E4" s="22" t="s">
        <v>101</v>
      </c>
      <c r="F4" s="22" t="s">
        <v>102</v>
      </c>
      <c r="G4" s="22" t="s">
        <v>103</v>
      </c>
      <c r="H4" s="21" t="s">
        <v>104</v>
      </c>
      <c r="I4" s="21" t="s">
        <v>105</v>
      </c>
    </row>
    <row r="5" customFormat="false" ht="15" hidden="false" customHeight="false" outlineLevel="0" collapsed="false">
      <c r="A5" s="7" t="s">
        <v>106</v>
      </c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9" t="s">
        <v>107</v>
      </c>
      <c r="B6" s="11" t="s">
        <v>108</v>
      </c>
      <c r="C6" s="14" t="n">
        <v>65</v>
      </c>
      <c r="D6" s="14" t="n">
        <v>95</v>
      </c>
      <c r="E6" s="14" t="n">
        <v>90</v>
      </c>
      <c r="F6" s="14" t="n">
        <v>100</v>
      </c>
      <c r="G6" s="14" t="n">
        <v>125</v>
      </c>
      <c r="H6" s="23" t="n">
        <f aca="false">SUMPRODUCT($C$8:$G$8,C6:G6)</f>
        <v>95.25</v>
      </c>
      <c r="I6" s="2" t="s">
        <v>109</v>
      </c>
    </row>
    <row r="7" customFormat="false" ht="15" hidden="false" customHeight="false" outlineLevel="0" collapsed="false">
      <c r="A7" s="9" t="s">
        <v>110</v>
      </c>
      <c r="B7" s="11" t="s">
        <v>111</v>
      </c>
      <c r="C7" s="10" t="n">
        <v>449000</v>
      </c>
      <c r="D7" s="10" t="n">
        <v>549000</v>
      </c>
      <c r="E7" s="10" t="n">
        <v>549000</v>
      </c>
      <c r="F7" s="10" t="n">
        <v>599000</v>
      </c>
      <c r="G7" s="10" t="n">
        <v>649000</v>
      </c>
      <c r="H7" s="24" t="n">
        <f aca="false">SUMPRODUCT($C$8:$G$8,C7:G7)</f>
        <v>559000</v>
      </c>
      <c r="I7" s="2" t="s">
        <v>112</v>
      </c>
    </row>
    <row r="8" customFormat="false" ht="15" hidden="false" customHeight="false" outlineLevel="0" collapsed="false">
      <c r="A8" s="9" t="s">
        <v>113</v>
      </c>
      <c r="B8" s="11" t="s">
        <v>51</v>
      </c>
      <c r="C8" s="13" t="n">
        <v>0.2</v>
      </c>
      <c r="D8" s="13" t="n">
        <v>0.25</v>
      </c>
      <c r="E8" s="13" t="n">
        <v>0.15</v>
      </c>
      <c r="F8" s="13" t="n">
        <v>0.2</v>
      </c>
      <c r="G8" s="13" t="n">
        <v>0.2</v>
      </c>
      <c r="H8" s="25" t="n">
        <f aca="false">SUM(C8:G8)</f>
        <v>1</v>
      </c>
      <c r="I8" s="26" t="str">
        <f aca="false">IF(ABS(H8-1)&gt;0.001,"Внимание: доли должны давать 100%, сейчас "&amp;TEXT(H8,"0%"),"Доли в сумме 100% — всё верно")</f>
        <v>Доли в сумме 100% — всё верно</v>
      </c>
    </row>
    <row r="9" customFormat="false" ht="15" hidden="false" customHeight="false" outlineLevel="0" collapsed="false">
      <c r="A9" s="7" t="s">
        <v>114</v>
      </c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9" t="s">
        <v>115</v>
      </c>
      <c r="B10" s="11" t="s">
        <v>111</v>
      </c>
      <c r="C10" s="27" t="n">
        <f aca="false">C6*Допущения!$B$7</f>
        <v>107250</v>
      </c>
      <c r="D10" s="27" t="n">
        <f aca="false">D6*Допущения!$B$7</f>
        <v>156750</v>
      </c>
      <c r="E10" s="27" t="n">
        <f aca="false">E6*Допущения!$B$7</f>
        <v>148500</v>
      </c>
      <c r="F10" s="27" t="n">
        <f aca="false">F6*Допущения!$B$7</f>
        <v>165000</v>
      </c>
      <c r="G10" s="27" t="n">
        <f aca="false">G6*Допущения!$B$7</f>
        <v>206250</v>
      </c>
      <c r="H10" s="24" t="n">
        <f aca="false">SUMPRODUCT($C$8:$G$8,C10:G10)</f>
        <v>157162.5</v>
      </c>
      <c r="I10" s="28" t="s">
        <v>116</v>
      </c>
    </row>
    <row r="11" customFormat="false" ht="15" hidden="false" customHeight="false" outlineLevel="0" collapsed="false">
      <c r="A11" s="9" t="s">
        <v>117</v>
      </c>
      <c r="B11" s="11" t="s">
        <v>111</v>
      </c>
      <c r="C11" s="27" t="n">
        <f aca="false">C10*Допущения!$B$10</f>
        <v>5362.5</v>
      </c>
      <c r="D11" s="27" t="n">
        <f aca="false">D10*Допущения!$B$10</f>
        <v>7837.5</v>
      </c>
      <c r="E11" s="27" t="n">
        <f aca="false">E10*Допущения!$B$10</f>
        <v>7425</v>
      </c>
      <c r="F11" s="27" t="n">
        <f aca="false">F10*Допущения!$B$10</f>
        <v>8250</v>
      </c>
      <c r="G11" s="27" t="n">
        <f aca="false">G10*Допущения!$B$10</f>
        <v>10312.5</v>
      </c>
      <c r="H11" s="24" t="n">
        <f aca="false">SUMPRODUCT($C$8:$G$8,C11:G11)</f>
        <v>7858.125</v>
      </c>
      <c r="I11" s="28" t="s">
        <v>118</v>
      </c>
    </row>
    <row r="12" customFormat="false" ht="15" hidden="false" customHeight="false" outlineLevel="0" collapsed="false">
      <c r="A12" s="9" t="s">
        <v>39</v>
      </c>
      <c r="B12" s="11" t="s">
        <v>111</v>
      </c>
      <c r="C12" s="27" t="n">
        <f aca="false">Допущения!$B$11*Допущения!$B$7</f>
        <v>23100</v>
      </c>
      <c r="D12" s="27" t="n">
        <f aca="false">Допущения!$B$11*Допущения!$B$7</f>
        <v>23100</v>
      </c>
      <c r="E12" s="27" t="n">
        <f aca="false">Допущения!$B$11*Допущения!$B$7</f>
        <v>23100</v>
      </c>
      <c r="F12" s="27" t="n">
        <f aca="false">Допущения!$B$11*Допущения!$B$7</f>
        <v>23100</v>
      </c>
      <c r="G12" s="27" t="n">
        <f aca="false">Допущения!$B$11*Допущения!$B$7</f>
        <v>23100</v>
      </c>
      <c r="H12" s="24" t="n">
        <f aca="false">SUMPRODUCT($C$8:$G$8,C12:G12)</f>
        <v>23100</v>
      </c>
      <c r="I12" s="28" t="s">
        <v>119</v>
      </c>
    </row>
    <row r="13" customFormat="false" ht="15" hidden="false" customHeight="false" outlineLevel="0" collapsed="false">
      <c r="A13" s="9" t="s">
        <v>42</v>
      </c>
      <c r="B13" s="11" t="s">
        <v>111</v>
      </c>
      <c r="C13" s="27" t="n">
        <f aca="false">Допущения!$B$12*Допущения!$B$6</f>
        <v>40120</v>
      </c>
      <c r="D13" s="27" t="n">
        <f aca="false">Допущения!$B$12*Допущения!$B$6</f>
        <v>40120</v>
      </c>
      <c r="E13" s="27" t="n">
        <f aca="false">Допущения!$B$12*Допущения!$B$6</f>
        <v>40120</v>
      </c>
      <c r="F13" s="27" t="n">
        <f aca="false">Допущения!$B$12*Допущения!$B$6</f>
        <v>40120</v>
      </c>
      <c r="G13" s="27" t="n">
        <f aca="false">Допущения!$B$12*Допущения!$B$6</f>
        <v>40120</v>
      </c>
      <c r="H13" s="24" t="n">
        <f aca="false">SUMPRODUCT($C$8:$G$8,C13:G13)</f>
        <v>40120</v>
      </c>
      <c r="I13" s="28" t="s">
        <v>120</v>
      </c>
    </row>
    <row r="14" customFormat="false" ht="15" hidden="false" customHeight="false" outlineLevel="0" collapsed="false">
      <c r="A14" s="29" t="s">
        <v>121</v>
      </c>
      <c r="B14" s="2" t="s">
        <v>111</v>
      </c>
      <c r="C14" s="30" t="n">
        <f aca="false">C10+C12+C13</f>
        <v>170470</v>
      </c>
      <c r="D14" s="30" t="n">
        <f aca="false">D10+D12+D13</f>
        <v>219970</v>
      </c>
      <c r="E14" s="30" t="n">
        <f aca="false">E10+E12+E13</f>
        <v>211720</v>
      </c>
      <c r="F14" s="30" t="n">
        <f aca="false">F10+F12+F13</f>
        <v>228220</v>
      </c>
      <c r="G14" s="30" t="n">
        <f aca="false">G10+G12+G13</f>
        <v>269470</v>
      </c>
      <c r="H14" s="31" t="n">
        <f aca="false">SUMPRODUCT($C$8:$G$8,C14:G14)</f>
        <v>220382.5</v>
      </c>
      <c r="I14" s="28" t="s">
        <v>122</v>
      </c>
    </row>
    <row r="15" customFormat="false" ht="15" hidden="false" customHeight="false" outlineLevel="0" collapsed="false">
      <c r="A15" s="9" t="s">
        <v>123</v>
      </c>
      <c r="B15" s="11" t="s">
        <v>111</v>
      </c>
      <c r="C15" s="27" t="n">
        <f aca="false">MAX(C14*Допущения!$B$13,Допущения!$B$14*Допущения!$B$6)</f>
        <v>34094</v>
      </c>
      <c r="D15" s="27" t="n">
        <f aca="false">MAX(D14*Допущения!$B$13,Допущения!$B$14*Допущения!$B$6)</f>
        <v>43994</v>
      </c>
      <c r="E15" s="27" t="n">
        <f aca="false">MAX(E14*Допущения!$B$13,Допущения!$B$14*Допущения!$B$6)</f>
        <v>42344</v>
      </c>
      <c r="F15" s="27" t="n">
        <f aca="false">MAX(F14*Допущения!$B$13,Допущения!$B$14*Допущения!$B$6)</f>
        <v>45644</v>
      </c>
      <c r="G15" s="27" t="n">
        <f aca="false">MAX(G14*Допущения!$B$13,Допущения!$B$14*Допущения!$B$6)</f>
        <v>53894</v>
      </c>
      <c r="H15" s="24" t="n">
        <f aca="false">SUMPRODUCT($C$8:$G$8,C15:G15)</f>
        <v>44076.5</v>
      </c>
      <c r="I15" s="28" t="s">
        <v>124</v>
      </c>
    </row>
    <row r="16" customFormat="false" ht="15" hidden="false" customHeight="false" outlineLevel="0" collapsed="false">
      <c r="A16" s="9" t="s">
        <v>50</v>
      </c>
      <c r="B16" s="11" t="s">
        <v>111</v>
      </c>
      <c r="C16" s="27" t="n">
        <f aca="false">(C14+C15)*Допущения!$B$15</f>
        <v>24547.68</v>
      </c>
      <c r="D16" s="27" t="n">
        <f aca="false">(D14+D15)*Допущения!$B$15</f>
        <v>31675.68</v>
      </c>
      <c r="E16" s="27" t="n">
        <f aca="false">(E14+E15)*Допущения!$B$15</f>
        <v>30487.68</v>
      </c>
      <c r="F16" s="27" t="n">
        <f aca="false">(F14+F15)*Допущения!$B$15</f>
        <v>32863.68</v>
      </c>
      <c r="G16" s="27" t="n">
        <f aca="false">(G14+G15)*Допущения!$B$15</f>
        <v>38803.68</v>
      </c>
      <c r="H16" s="24" t="n">
        <f aca="false">SUMPRODUCT($C$8:$G$8,C16:G16)</f>
        <v>31735.08</v>
      </c>
      <c r="I16" s="28" t="s">
        <v>125</v>
      </c>
    </row>
    <row r="17" customFormat="false" ht="15" hidden="false" customHeight="false" outlineLevel="0" collapsed="false">
      <c r="A17" s="9" t="s">
        <v>53</v>
      </c>
      <c r="B17" s="11" t="s">
        <v>111</v>
      </c>
      <c r="C17" s="32" t="n">
        <f aca="false">Допущения!$B$16</f>
        <v>10000</v>
      </c>
      <c r="D17" s="32" t="n">
        <f aca="false">Допущения!$B$16</f>
        <v>10000</v>
      </c>
      <c r="E17" s="32" t="n">
        <f aca="false">Допущения!$B$16</f>
        <v>10000</v>
      </c>
      <c r="F17" s="32" t="n">
        <f aca="false">Допущения!$B$16</f>
        <v>10000</v>
      </c>
      <c r="G17" s="32" t="n">
        <f aca="false">Допущения!$B$16</f>
        <v>10000</v>
      </c>
      <c r="H17" s="24" t="n">
        <f aca="false">SUMPRODUCT($C$8:$G$8,C17:G17)</f>
        <v>10000</v>
      </c>
      <c r="I17" s="28" t="s">
        <v>126</v>
      </c>
    </row>
    <row r="18" customFormat="false" ht="15" hidden="false" customHeight="false" outlineLevel="0" collapsed="false">
      <c r="A18" s="18" t="s">
        <v>127</v>
      </c>
      <c r="B18" s="11" t="s">
        <v>111</v>
      </c>
      <c r="C18" s="19" t="n">
        <f aca="false">C10+C11+C12+C13+C15+C16+C17</f>
        <v>244474.18</v>
      </c>
      <c r="D18" s="19" t="n">
        <f aca="false">D10+D11+D12+D13+D15+D16+D17</f>
        <v>313477.18</v>
      </c>
      <c r="E18" s="19" t="n">
        <f aca="false">E10+E11+E12+E13+E15+E16+E17</f>
        <v>301976.68</v>
      </c>
      <c r="F18" s="19" t="n">
        <f aca="false">F10+F11+F12+F13+F15+F16+F17</f>
        <v>324977.68</v>
      </c>
      <c r="G18" s="19" t="n">
        <f aca="false">G10+G11+G12+G13+G15+G16+G17</f>
        <v>382480.18</v>
      </c>
      <c r="H18" s="19" t="n">
        <f aca="false">SUMPRODUCT($C$8:$G$8,C18:G18)</f>
        <v>314052.205</v>
      </c>
      <c r="I18" s="28" t="s">
        <v>128</v>
      </c>
    </row>
    <row r="19" customFormat="false" ht="15" hidden="false" customHeight="false" outlineLevel="0" collapsed="false">
      <c r="A19" s="7" t="s">
        <v>129</v>
      </c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9" t="s">
        <v>130</v>
      </c>
      <c r="B20" s="11" t="s">
        <v>111</v>
      </c>
      <c r="C20" s="27" t="n">
        <f aca="false">C7*(1-Допущения!$B$20)</f>
        <v>449000</v>
      </c>
      <c r="D20" s="27" t="n">
        <f aca="false">D7*(1-Допущения!$B$20)</f>
        <v>549000</v>
      </c>
      <c r="E20" s="27" t="n">
        <f aca="false">E7*(1-Допущения!$B$20)</f>
        <v>549000</v>
      </c>
      <c r="F20" s="27" t="n">
        <f aca="false">F7*(1-Допущения!$B$20)</f>
        <v>599000</v>
      </c>
      <c r="G20" s="27" t="n">
        <f aca="false">G7*(1-Допущения!$B$20)</f>
        <v>649000</v>
      </c>
      <c r="H20" s="24" t="n">
        <f aca="false">SUMPRODUCT($C$8:$G$8,C20:G20)</f>
        <v>559000</v>
      </c>
      <c r="I20" s="28" t="s">
        <v>131</v>
      </c>
    </row>
    <row r="21" customFormat="false" ht="15" hidden="false" customHeight="false" outlineLevel="0" collapsed="false">
      <c r="A21" s="9" t="s">
        <v>132</v>
      </c>
      <c r="B21" s="11" t="s">
        <v>111</v>
      </c>
      <c r="C21" s="27" t="n">
        <f aca="false">IF(Допущения!$B$19="Uzum Market",Допущения!$B$27,Допущения!$B$21)</f>
        <v>30000</v>
      </c>
      <c r="D21" s="27" t="n">
        <f aca="false">IF(Допущения!$B$19="Uzum Market",Допущения!$B$27,Допущения!$B$21)</f>
        <v>30000</v>
      </c>
      <c r="E21" s="27" t="n">
        <f aca="false">IF(Допущения!$B$19="Uzum Market",Допущения!$B$27,Допущения!$B$21)</f>
        <v>30000</v>
      </c>
      <c r="F21" s="27" t="n">
        <f aca="false">IF(Допущения!$B$19="Uzum Market",Допущения!$B$27,Допущения!$B$21)</f>
        <v>30000</v>
      </c>
      <c r="G21" s="27" t="n">
        <f aca="false">IF(Допущения!$B$19="Uzum Market",Допущения!$B$27,Допущения!$B$21)</f>
        <v>30000</v>
      </c>
      <c r="H21" s="24" t="n">
        <f aca="false">SUMPRODUCT($C$8:$G$8,C21:G21)</f>
        <v>30000</v>
      </c>
      <c r="I21" s="28" t="s">
        <v>133</v>
      </c>
    </row>
    <row r="22" customFormat="false" ht="15" hidden="false" customHeight="false" outlineLevel="0" collapsed="false">
      <c r="A22" s="9" t="s">
        <v>134</v>
      </c>
      <c r="B22" s="11" t="s">
        <v>111</v>
      </c>
      <c r="C22" s="27" t="n">
        <f aca="false">C21*Допущения!$B$22</f>
        <v>2400</v>
      </c>
      <c r="D22" s="27" t="n">
        <f aca="false">D21*Допущения!$B$22</f>
        <v>2400</v>
      </c>
      <c r="E22" s="27" t="n">
        <f aca="false">E21*Допущения!$B$22</f>
        <v>2400</v>
      </c>
      <c r="F22" s="27" t="n">
        <f aca="false">F21*Допущения!$B$22</f>
        <v>2400</v>
      </c>
      <c r="G22" s="27" t="n">
        <f aca="false">G21*Допущения!$B$22</f>
        <v>2400</v>
      </c>
      <c r="H22" s="24" t="n">
        <f aca="false">SUMPRODUCT($C$8:$G$8,C22:G22)</f>
        <v>2400</v>
      </c>
      <c r="I22" s="28" t="s">
        <v>135</v>
      </c>
    </row>
    <row r="23" customFormat="false" ht="15" hidden="false" customHeight="false" outlineLevel="0" collapsed="false">
      <c r="A23" s="9" t="s">
        <v>136</v>
      </c>
      <c r="B23" s="11" t="s">
        <v>111</v>
      </c>
      <c r="C23" s="27" t="n">
        <f aca="false">C20*Допущения!$B$23</f>
        <v>4490</v>
      </c>
      <c r="D23" s="27" t="n">
        <f aca="false">D20*Допущения!$B$23</f>
        <v>5490</v>
      </c>
      <c r="E23" s="27" t="n">
        <f aca="false">E20*Допущения!$B$23</f>
        <v>5490</v>
      </c>
      <c r="F23" s="27" t="n">
        <f aca="false">F20*Допущения!$B$23</f>
        <v>5990</v>
      </c>
      <c r="G23" s="27" t="n">
        <f aca="false">G20*Допущения!$B$23</f>
        <v>6490</v>
      </c>
      <c r="H23" s="24" t="n">
        <f aca="false">SUMPRODUCT($C$8:$G$8,C23:G23)</f>
        <v>5590</v>
      </c>
      <c r="I23" s="28" t="s">
        <v>137</v>
      </c>
    </row>
    <row r="24" customFormat="false" ht="15" hidden="false" customHeight="false" outlineLevel="0" collapsed="false">
      <c r="A24" s="9" t="s">
        <v>138</v>
      </c>
      <c r="B24" s="11" t="s">
        <v>111</v>
      </c>
      <c r="C24" s="27" t="n">
        <f aca="false">IF(Допущения!$B$19="Uzum Market",0,C20*Допущения!$B$24)</f>
        <v>4490</v>
      </c>
      <c r="D24" s="27" t="n">
        <f aca="false">IF(Допущения!$B$19="Uzum Market",0,D20*Допущения!$B$24)</f>
        <v>5490</v>
      </c>
      <c r="E24" s="27" t="n">
        <f aca="false">IF(Допущения!$B$19="Uzum Market",0,E20*Допущения!$B$24)</f>
        <v>5490</v>
      </c>
      <c r="F24" s="27" t="n">
        <f aca="false">IF(Допущения!$B$19="Uzum Market",0,F20*Допущения!$B$24)</f>
        <v>5990</v>
      </c>
      <c r="G24" s="27" t="n">
        <f aca="false">IF(Допущения!$B$19="Uzum Market",0,G20*Допущения!$B$24)</f>
        <v>6490</v>
      </c>
      <c r="H24" s="24" t="n">
        <f aca="false">SUMPRODUCT($C$8:$G$8,C24:G24)</f>
        <v>5590</v>
      </c>
      <c r="I24" s="28" t="s">
        <v>139</v>
      </c>
    </row>
    <row r="25" customFormat="false" ht="15" hidden="false" customHeight="false" outlineLevel="0" collapsed="false">
      <c r="A25" s="9" t="s">
        <v>140</v>
      </c>
      <c r="B25" s="11" t="s">
        <v>111</v>
      </c>
      <c r="C25" s="27" t="n">
        <f aca="false">IF(Допущения!$B$19="Uzum Market",C20*Допущения!$B$26,0)</f>
        <v>0</v>
      </c>
      <c r="D25" s="27" t="n">
        <f aca="false">IF(Допущения!$B$19="Uzum Market",D20*Допущения!$B$26,0)</f>
        <v>0</v>
      </c>
      <c r="E25" s="27" t="n">
        <f aca="false">IF(Допущения!$B$19="Uzum Market",E20*Допущения!$B$26,0)</f>
        <v>0</v>
      </c>
      <c r="F25" s="27" t="n">
        <f aca="false">IF(Допущения!$B$19="Uzum Market",F20*Допущения!$B$26,0)</f>
        <v>0</v>
      </c>
      <c r="G25" s="27" t="n">
        <f aca="false">IF(Допущения!$B$19="Uzum Market",G20*Допущения!$B$26,0)</f>
        <v>0</v>
      </c>
      <c r="H25" s="24" t="n">
        <f aca="false">SUMPRODUCT($C$8:$G$8,C25:G25)</f>
        <v>0</v>
      </c>
      <c r="I25" s="28" t="s">
        <v>141</v>
      </c>
    </row>
    <row r="26" customFormat="false" ht="15" hidden="false" customHeight="false" outlineLevel="0" collapsed="false">
      <c r="A26" s="9" t="s">
        <v>142</v>
      </c>
      <c r="B26" s="11" t="s">
        <v>111</v>
      </c>
      <c r="C26" s="32" t="n">
        <f aca="false">Допущения!$B$25</f>
        <v>70000</v>
      </c>
      <c r="D26" s="32" t="n">
        <f aca="false">Допущения!$B$25</f>
        <v>70000</v>
      </c>
      <c r="E26" s="32" t="n">
        <f aca="false">Допущения!$B$25</f>
        <v>70000</v>
      </c>
      <c r="F26" s="32" t="n">
        <f aca="false">Допущения!$B$25</f>
        <v>70000</v>
      </c>
      <c r="G26" s="32" t="n">
        <f aca="false">Допущения!$B$25</f>
        <v>70000</v>
      </c>
      <c r="H26" s="24" t="n">
        <f aca="false">SUMPRODUCT($C$8:$G$8,C26:G26)</f>
        <v>70000</v>
      </c>
      <c r="I26" s="28" t="s">
        <v>126</v>
      </c>
    </row>
    <row r="27" customFormat="false" ht="15" hidden="false" customHeight="false" outlineLevel="0" collapsed="false">
      <c r="A27" s="18" t="s">
        <v>143</v>
      </c>
      <c r="B27" s="11" t="s">
        <v>111</v>
      </c>
      <c r="C27" s="19" t="n">
        <f aca="false">SUM(C21:C26)</f>
        <v>111380</v>
      </c>
      <c r="D27" s="19" t="n">
        <f aca="false">SUM(D21:D26)</f>
        <v>113380</v>
      </c>
      <c r="E27" s="19" t="n">
        <f aca="false">SUM(E21:E26)</f>
        <v>113380</v>
      </c>
      <c r="F27" s="19" t="n">
        <f aca="false">SUM(F21:F26)</f>
        <v>114380</v>
      </c>
      <c r="G27" s="19" t="n">
        <f aca="false">SUM(G21:G26)</f>
        <v>115380</v>
      </c>
      <c r="H27" s="19" t="n">
        <f aca="false">SUMPRODUCT($C$8:$G$8,C27:G27)</f>
        <v>113580</v>
      </c>
      <c r="I27" s="28" t="s">
        <v>144</v>
      </c>
    </row>
    <row r="28" customFormat="false" ht="15" hidden="false" customHeight="false" outlineLevel="0" collapsed="false">
      <c r="A28" s="7" t="s">
        <v>145</v>
      </c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18" t="s">
        <v>146</v>
      </c>
      <c r="B29" s="11" t="s">
        <v>111</v>
      </c>
      <c r="C29" s="19" t="n">
        <f aca="false">C20-C18-C27</f>
        <v>93145.82</v>
      </c>
      <c r="D29" s="19" t="n">
        <f aca="false">D20-D18-D27</f>
        <v>122142.82</v>
      </c>
      <c r="E29" s="19" t="n">
        <f aca="false">E20-E18-E27</f>
        <v>133643.32</v>
      </c>
      <c r="F29" s="19" t="n">
        <f aca="false">F20-F18-F27</f>
        <v>159642.32</v>
      </c>
      <c r="G29" s="19" t="n">
        <f aca="false">G20-G18-G27</f>
        <v>151139.82</v>
      </c>
      <c r="H29" s="19" t="n">
        <f aca="false">SUMPRODUCT($C$8:$G$8,C29:G29)</f>
        <v>131367.795</v>
      </c>
      <c r="I29" s="28" t="s">
        <v>147</v>
      </c>
    </row>
    <row r="30" customFormat="false" ht="15" hidden="false" customHeight="false" outlineLevel="0" collapsed="false">
      <c r="A30" s="9" t="s">
        <v>148</v>
      </c>
      <c r="B30" s="11" t="s">
        <v>51</v>
      </c>
      <c r="C30" s="33" t="n">
        <f aca="false">IFERROR(C29/C20,0)</f>
        <v>0.207451714922049</v>
      </c>
      <c r="D30" s="33" t="n">
        <f aca="false">IFERROR(D29/D20,0)</f>
        <v>0.222482367941712</v>
      </c>
      <c r="E30" s="33" t="n">
        <f aca="false">IFERROR(E29/E20,0)</f>
        <v>0.243430455373406</v>
      </c>
      <c r="F30" s="33" t="n">
        <f aca="false">IFERROR(F29/F20,0)</f>
        <v>0.266514724540902</v>
      </c>
      <c r="G30" s="33" t="n">
        <f aca="false">IFERROR(G29/G20,0)</f>
        <v>0.232881078582435</v>
      </c>
      <c r="H30" s="25" t="n">
        <f aca="false">IFERROR(H29/H20,0)</f>
        <v>0.235005</v>
      </c>
      <c r="I30" s="28" t="s">
        <v>149</v>
      </c>
    </row>
    <row r="31" customFormat="false" ht="15" hidden="false" customHeight="false" outlineLevel="0" collapsed="false">
      <c r="A31" s="9" t="s">
        <v>150</v>
      </c>
      <c r="B31" s="11" t="s">
        <v>151</v>
      </c>
      <c r="C31" s="34" t="n">
        <f aca="false">IFERROR(C20/C18,0)</f>
        <v>1.83659476841276</v>
      </c>
      <c r="D31" s="34" t="n">
        <f aca="false">IFERROR(D20/D18,0)</f>
        <v>1.75132365296893</v>
      </c>
      <c r="E31" s="34" t="n">
        <f aca="false">IFERROR(E20/E18,0)</f>
        <v>1.81802117964871</v>
      </c>
      <c r="F31" s="34" t="n">
        <f aca="false">IFERROR(F20/F18,0)</f>
        <v>1.8432035086225</v>
      </c>
      <c r="G31" s="34" t="n">
        <f aca="false">IFERROR(G20/G18,0)</f>
        <v>1.69681995025206</v>
      </c>
      <c r="H31" s="35" t="n">
        <f aca="false">IFERROR(H20/H18,0)</f>
        <v>1.77995884474048</v>
      </c>
      <c r="I31" s="28" t="s">
        <v>152</v>
      </c>
    </row>
    <row r="32" customFormat="false" ht="15" hidden="false" customHeight="false" outlineLevel="0" collapsed="false">
      <c r="A32" s="9" t="s">
        <v>153</v>
      </c>
      <c r="B32" s="11" t="s">
        <v>111</v>
      </c>
      <c r="C32" s="27" t="n">
        <f aca="false">C29+C26</f>
        <v>163145.82</v>
      </c>
      <c r="D32" s="27" t="n">
        <f aca="false">D29+D26</f>
        <v>192142.82</v>
      </c>
      <c r="E32" s="27" t="n">
        <f aca="false">E29+E26</f>
        <v>203643.32</v>
      </c>
      <c r="F32" s="27" t="n">
        <f aca="false">F29+F26</f>
        <v>229642.32</v>
      </c>
      <c r="G32" s="27" t="n">
        <f aca="false">G29+G26</f>
        <v>221139.82</v>
      </c>
      <c r="H32" s="24" t="n">
        <f aca="false">SUMPRODUCT($C$8:$G$8,C32:G32)</f>
        <v>201367.795</v>
      </c>
      <c r="I32" s="28" t="s">
        <v>154</v>
      </c>
    </row>
    <row r="33" customFormat="false" ht="15" hidden="false" customHeight="false" outlineLevel="0" collapsed="false">
      <c r="A33" s="9" t="s">
        <v>155</v>
      </c>
      <c r="B33" s="11" t="s">
        <v>111</v>
      </c>
      <c r="C33" s="27" t="n">
        <f aca="false">IFERROR((C18+C21+C22+C26)/(1-(C23+C24+C25)/C20)/(1-Допущения!$B$20),0)</f>
        <v>353953.244897959</v>
      </c>
      <c r="D33" s="27" t="n">
        <f aca="false">IFERROR((D18+D21+D22+D26)/(1-(D23+D24+D25)/D20)/(1-Допущения!$B$20),0)</f>
        <v>424364.469387755</v>
      </c>
      <c r="E33" s="27" t="n">
        <f aca="false">IFERROR((E18+E21+E22+E26)/(1-(E23+E24+E25)/E20)/(1-Допущения!$B$20),0)</f>
        <v>412629.265306122</v>
      </c>
      <c r="F33" s="27" t="n">
        <f aca="false">IFERROR((F18+F21+F22+F26)/(1-(F23+F24+F25)/F20)/(1-Допущения!$B$20),0)</f>
        <v>436099.673469388</v>
      </c>
      <c r="G33" s="27" t="n">
        <f aca="false">IFERROR((G18+G21+G22+G26)/(1-(G23+G24+G25)/G20)/(1-Допущения!$B$20),0)</f>
        <v>494775.693877551</v>
      </c>
      <c r="H33" s="24" t="n">
        <f aca="false">SUMPRODUCT($C$8:$G$8,C33:G33)</f>
        <v>424951.229591837</v>
      </c>
      <c r="I33" s="28" t="s">
        <v>156</v>
      </c>
    </row>
    <row r="35" customFormat="false" ht="15" hidden="false" customHeight="false" outlineLevel="0" collapsed="false">
      <c r="A35" s="7" t="s">
        <v>157</v>
      </c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9" t="s">
        <v>158</v>
      </c>
      <c r="B36" s="11" t="s">
        <v>111</v>
      </c>
      <c r="C36" s="32" t="n">
        <f aca="false">Допущения!$B$36</f>
        <v>17000000</v>
      </c>
      <c r="I36" s="2" t="s">
        <v>126</v>
      </c>
    </row>
    <row r="37" customFormat="false" ht="15" hidden="false" customHeight="false" outlineLevel="0" collapsed="false">
      <c r="A37" s="18" t="s">
        <v>159</v>
      </c>
      <c r="B37" s="11" t="s">
        <v>160</v>
      </c>
      <c r="C37" s="19" t="n">
        <f aca="false">IF(H29&lt;=0,"убыток с каждого заказа",C36/H29)</f>
        <v>129.407667990469</v>
      </c>
      <c r="I37" s="2" t="s">
        <v>161</v>
      </c>
    </row>
    <row r="38" customFormat="false" ht="15" hidden="false" customHeight="false" outlineLevel="0" collapsed="false">
      <c r="A38" s="9" t="s">
        <v>162</v>
      </c>
      <c r="B38" s="11" t="s">
        <v>163</v>
      </c>
      <c r="C38" s="36" t="n">
        <f aca="false">IF(ISNUMBER(C37),C37/30,"—")</f>
        <v>4.31358893301564</v>
      </c>
      <c r="I38" s="2" t="s">
        <v>164</v>
      </c>
    </row>
  </sheetData>
  <conditionalFormatting sqref="C29:H29">
    <cfRule type="expression" priority="2" aboveAverage="0" equalAverage="0" bottom="0" percent="0" rank="0" text="" dxfId="0">
      <formula>C29&lt;0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6" t="s">
        <v>167</v>
      </c>
      <c r="B4" s="37" t="s">
        <v>168</v>
      </c>
      <c r="C4" s="37" t="s">
        <v>169</v>
      </c>
      <c r="D4" s="37" t="s">
        <v>170</v>
      </c>
      <c r="E4" s="37" t="s">
        <v>171</v>
      </c>
      <c r="F4" s="37" t="s">
        <v>172</v>
      </c>
      <c r="G4" s="37" t="s">
        <v>173</v>
      </c>
      <c r="H4" s="37" t="s">
        <v>174</v>
      </c>
      <c r="I4" s="37" t="s">
        <v>175</v>
      </c>
      <c r="J4" s="37" t="s">
        <v>176</v>
      </c>
      <c r="K4" s="37" t="s">
        <v>177</v>
      </c>
      <c r="L4" s="37" t="s">
        <v>178</v>
      </c>
      <c r="M4" s="37" t="s">
        <v>179</v>
      </c>
      <c r="N4" s="21" t="s">
        <v>180</v>
      </c>
    </row>
    <row r="5" customFormat="false" ht="15" hidden="false" customHeight="false" outlineLevel="0" collapsed="false">
      <c r="A5" s="9" t="s">
        <v>181</v>
      </c>
      <c r="B5" s="10" t="n">
        <v>40</v>
      </c>
      <c r="C5" s="10" t="n">
        <v>70</v>
      </c>
      <c r="D5" s="10" t="n">
        <v>150</v>
      </c>
      <c r="E5" s="10" t="n">
        <v>100</v>
      </c>
      <c r="F5" s="10" t="n">
        <v>120</v>
      </c>
      <c r="G5" s="10" t="n">
        <v>130</v>
      </c>
      <c r="H5" s="10" t="n">
        <v>120</v>
      </c>
      <c r="I5" s="10" t="n">
        <v>140</v>
      </c>
      <c r="J5" s="10" t="n">
        <v>160</v>
      </c>
      <c r="K5" s="10" t="n">
        <v>180</v>
      </c>
      <c r="L5" s="10" t="n">
        <v>200</v>
      </c>
      <c r="M5" s="10" t="n">
        <v>260</v>
      </c>
      <c r="N5" s="24" t="n">
        <f aca="false">SUM(B5:M5)</f>
        <v>1670</v>
      </c>
    </row>
    <row r="6" customFormat="false" ht="15" hidden="false" customHeight="false" outlineLevel="0" collapsed="false">
      <c r="A6" s="9" t="s">
        <v>182</v>
      </c>
      <c r="B6" s="10" t="n">
        <v>10000000</v>
      </c>
      <c r="C6" s="10" t="n">
        <v>10000000</v>
      </c>
      <c r="D6" s="10" t="n">
        <v>10000000</v>
      </c>
      <c r="E6" s="10" t="n">
        <v>14000000</v>
      </c>
      <c r="F6" s="10" t="n">
        <v>14000000</v>
      </c>
      <c r="G6" s="10" t="n">
        <v>14000000</v>
      </c>
      <c r="H6" s="10" t="n">
        <v>17000000</v>
      </c>
      <c r="I6" s="10" t="n">
        <v>17000000</v>
      </c>
      <c r="J6" s="10" t="n">
        <v>17000000</v>
      </c>
      <c r="K6" s="10" t="n">
        <v>17000000</v>
      </c>
      <c r="L6" s="10" t="n">
        <v>17000000</v>
      </c>
      <c r="M6" s="10" t="n">
        <v>17000000</v>
      </c>
      <c r="N6" s="24" t="n">
        <f aca="false">SUM(B6:M6)</f>
        <v>174000000</v>
      </c>
    </row>
    <row r="8" customFormat="false" ht="15" hidden="false" customHeight="false" outlineLevel="0" collapsed="false">
      <c r="A8" s="9" t="s">
        <v>183</v>
      </c>
      <c r="B8" s="27" t="n">
        <f aca="false">B5*'Юнит-экономика'!$H$20</f>
        <v>22360000</v>
      </c>
      <c r="C8" s="27" t="n">
        <f aca="false">C5*'Юнит-экономика'!$H$20</f>
        <v>39130000</v>
      </c>
      <c r="D8" s="27" t="n">
        <f aca="false">D5*'Юнит-экономика'!$H$20</f>
        <v>83850000</v>
      </c>
      <c r="E8" s="27" t="n">
        <f aca="false">E5*'Юнит-экономика'!$H$20</f>
        <v>55900000</v>
      </c>
      <c r="F8" s="27" t="n">
        <f aca="false">F5*'Юнит-экономика'!$H$20</f>
        <v>67080000</v>
      </c>
      <c r="G8" s="27" t="n">
        <f aca="false">G5*'Юнит-экономика'!$H$20</f>
        <v>72670000</v>
      </c>
      <c r="H8" s="27" t="n">
        <f aca="false">H5*'Юнит-экономика'!$H$20</f>
        <v>67080000</v>
      </c>
      <c r="I8" s="27" t="n">
        <f aca="false">I5*'Юнит-экономика'!$H$20</f>
        <v>78260000</v>
      </c>
      <c r="J8" s="27" t="n">
        <f aca="false">J5*'Юнит-экономика'!$H$20</f>
        <v>89440000</v>
      </c>
      <c r="K8" s="27" t="n">
        <f aca="false">K5*'Юнит-экономика'!$H$20</f>
        <v>100620000</v>
      </c>
      <c r="L8" s="27" t="n">
        <f aca="false">L5*'Юнит-экономика'!$H$20</f>
        <v>111800000</v>
      </c>
      <c r="M8" s="27" t="n">
        <f aca="false">M5*'Юнит-экономика'!$H$20</f>
        <v>145340000</v>
      </c>
      <c r="N8" s="24" t="n">
        <f aca="false">SUM(B8:M8)</f>
        <v>933530000</v>
      </c>
    </row>
    <row r="9" customFormat="false" ht="15" hidden="false" customHeight="false" outlineLevel="0" collapsed="false">
      <c r="A9" s="9" t="s">
        <v>184</v>
      </c>
      <c r="B9" s="27" t="n">
        <f aca="false">B5*'Юнит-экономика'!$H$18</f>
        <v>12562088.2</v>
      </c>
      <c r="C9" s="27" t="n">
        <f aca="false">C5*'Юнит-экономика'!$H$18</f>
        <v>21983654.35</v>
      </c>
      <c r="D9" s="27" t="n">
        <f aca="false">D5*'Юнит-экономика'!$H$18</f>
        <v>47107830.75</v>
      </c>
      <c r="E9" s="27" t="n">
        <f aca="false">E5*'Юнит-экономика'!$H$18</f>
        <v>31405220.5</v>
      </c>
      <c r="F9" s="27" t="n">
        <f aca="false">F5*'Юнит-экономика'!$H$18</f>
        <v>37686264.6</v>
      </c>
      <c r="G9" s="27" t="n">
        <f aca="false">G5*'Юнит-экономика'!$H$18</f>
        <v>40826786.65</v>
      </c>
      <c r="H9" s="27" t="n">
        <f aca="false">H5*'Юнит-экономика'!$H$18</f>
        <v>37686264.6</v>
      </c>
      <c r="I9" s="27" t="n">
        <f aca="false">I5*'Юнит-экономика'!$H$18</f>
        <v>43967308.7</v>
      </c>
      <c r="J9" s="27" t="n">
        <f aca="false">J5*'Юнит-экономика'!$H$18</f>
        <v>50248352.8</v>
      </c>
      <c r="K9" s="27" t="n">
        <f aca="false">K5*'Юнит-экономика'!$H$18</f>
        <v>56529396.9</v>
      </c>
      <c r="L9" s="27" t="n">
        <f aca="false">L5*'Юнит-экономика'!$H$18</f>
        <v>62810441</v>
      </c>
      <c r="M9" s="27" t="n">
        <f aca="false">M5*'Юнит-экономика'!$H$18</f>
        <v>81653573.3</v>
      </c>
      <c r="N9" s="24" t="n">
        <f aca="false">SUM(B9:M9)</f>
        <v>524467182.35</v>
      </c>
    </row>
    <row r="10" customFormat="false" ht="15" hidden="false" customHeight="false" outlineLevel="0" collapsed="false">
      <c r="A10" s="9" t="s">
        <v>185</v>
      </c>
      <c r="B10" s="27" t="n">
        <f aca="false">B5*'Юнит-экономика'!$H$27</f>
        <v>4543200</v>
      </c>
      <c r="C10" s="27" t="n">
        <f aca="false">C5*'Юнит-экономика'!$H$27</f>
        <v>7950600</v>
      </c>
      <c r="D10" s="27" t="n">
        <f aca="false">D5*'Юнит-экономика'!$H$27</f>
        <v>17037000</v>
      </c>
      <c r="E10" s="27" t="n">
        <f aca="false">E5*'Юнит-экономика'!$H$27</f>
        <v>11358000</v>
      </c>
      <c r="F10" s="27" t="n">
        <f aca="false">F5*'Юнит-экономика'!$H$27</f>
        <v>13629600</v>
      </c>
      <c r="G10" s="27" t="n">
        <f aca="false">G5*'Юнит-экономика'!$H$27</f>
        <v>14765400</v>
      </c>
      <c r="H10" s="27" t="n">
        <f aca="false">H5*'Юнит-экономика'!$H$27</f>
        <v>13629600</v>
      </c>
      <c r="I10" s="27" t="n">
        <f aca="false">I5*'Юнит-экономика'!$H$27</f>
        <v>15901200</v>
      </c>
      <c r="J10" s="27" t="n">
        <f aca="false">J5*'Юнит-экономика'!$H$27</f>
        <v>18172800</v>
      </c>
      <c r="K10" s="27" t="n">
        <f aca="false">K5*'Юнит-экономика'!$H$27</f>
        <v>20444400</v>
      </c>
      <c r="L10" s="27" t="n">
        <f aca="false">L5*'Юнит-экономика'!$H$27</f>
        <v>22716000</v>
      </c>
      <c r="M10" s="27" t="n">
        <f aca="false">M5*'Юнит-экономика'!$H$27</f>
        <v>29530800</v>
      </c>
      <c r="N10" s="24" t="n">
        <f aca="false">SUM(B10:M10)</f>
        <v>189678600</v>
      </c>
    </row>
    <row r="11" customFormat="false" ht="15" hidden="false" customHeight="false" outlineLevel="0" collapsed="false">
      <c r="A11" s="18" t="s">
        <v>186</v>
      </c>
      <c r="B11" s="24" t="n">
        <f aca="false">B8-B9-B10</f>
        <v>5254711.8</v>
      </c>
      <c r="C11" s="24" t="n">
        <f aca="false">C8-C9-C10</f>
        <v>9195745.65</v>
      </c>
      <c r="D11" s="24" t="n">
        <f aca="false">D8-D9-D10</f>
        <v>19705169.25</v>
      </c>
      <c r="E11" s="24" t="n">
        <f aca="false">E8-E9-E10</f>
        <v>13136779.5</v>
      </c>
      <c r="F11" s="24" t="n">
        <f aca="false">F8-F9-F10</f>
        <v>15764135.4</v>
      </c>
      <c r="G11" s="24" t="n">
        <f aca="false">G8-G9-G10</f>
        <v>17077813.35</v>
      </c>
      <c r="H11" s="24" t="n">
        <f aca="false">H8-H9-H10</f>
        <v>15764135.4</v>
      </c>
      <c r="I11" s="24" t="n">
        <f aca="false">I8-I9-I10</f>
        <v>18391491.3</v>
      </c>
      <c r="J11" s="24" t="n">
        <f aca="false">J8-J9-J10</f>
        <v>21018847.2</v>
      </c>
      <c r="K11" s="24" t="n">
        <f aca="false">K8-K9-K10</f>
        <v>23646203.1</v>
      </c>
      <c r="L11" s="24" t="n">
        <f aca="false">L8-L9-L10</f>
        <v>26273559</v>
      </c>
      <c r="M11" s="24" t="n">
        <f aca="false">M8-M9-M10</f>
        <v>34155626.7</v>
      </c>
      <c r="N11" s="24" t="n">
        <f aca="false">SUM(B11:M11)</f>
        <v>219384217.65</v>
      </c>
    </row>
    <row r="12" customFormat="false" ht="15" hidden="false" customHeight="false" outlineLevel="0" collapsed="false">
      <c r="A12" s="18" t="s">
        <v>187</v>
      </c>
      <c r="B12" s="19" t="n">
        <f aca="false">B11-B6</f>
        <v>-4745288.2</v>
      </c>
      <c r="C12" s="19" t="n">
        <f aca="false">C11-C6</f>
        <v>-804254.350000002</v>
      </c>
      <c r="D12" s="19" t="n">
        <f aca="false">D11-D6</f>
        <v>9705169.25</v>
      </c>
      <c r="E12" s="19" t="n">
        <f aca="false">E11-E6</f>
        <v>-863220.5</v>
      </c>
      <c r="F12" s="19" t="n">
        <f aca="false">F11-F6</f>
        <v>1764135.4</v>
      </c>
      <c r="G12" s="19" t="n">
        <f aca="false">G11-G6</f>
        <v>3077813.35</v>
      </c>
      <c r="H12" s="19" t="n">
        <f aca="false">H11-H6</f>
        <v>-1235864.6</v>
      </c>
      <c r="I12" s="19" t="n">
        <f aca="false">I11-I6</f>
        <v>1391491.3</v>
      </c>
      <c r="J12" s="19" t="n">
        <f aca="false">J11-J6</f>
        <v>4018847.2</v>
      </c>
      <c r="K12" s="19" t="n">
        <f aca="false">K11-K6</f>
        <v>6646203.09999999</v>
      </c>
      <c r="L12" s="19" t="n">
        <f aca="false">L11-L6</f>
        <v>9273559</v>
      </c>
      <c r="M12" s="19" t="n">
        <f aca="false">M11-M6</f>
        <v>17155626.7</v>
      </c>
      <c r="N12" s="19" t="n">
        <f aca="false">SUM(B12:M12)</f>
        <v>45384217.65</v>
      </c>
    </row>
    <row r="13" customFormat="false" ht="15" hidden="false" customHeight="false" outlineLevel="0" collapsed="false">
      <c r="A13" s="9" t="s">
        <v>188</v>
      </c>
      <c r="B13" s="27" t="n">
        <f aca="false">B12</f>
        <v>-4745288.2</v>
      </c>
      <c r="C13" s="27" t="n">
        <f aca="false">B13+C12</f>
        <v>-5549542.55</v>
      </c>
      <c r="D13" s="27" t="n">
        <f aca="false">C13+D12</f>
        <v>4155626.7</v>
      </c>
      <c r="E13" s="27" t="n">
        <f aca="false">D13+E12</f>
        <v>3292406.2</v>
      </c>
      <c r="F13" s="27" t="n">
        <f aca="false">E13+F12</f>
        <v>5056541.6</v>
      </c>
      <c r="G13" s="27" t="n">
        <f aca="false">F13+G12</f>
        <v>8134354.95</v>
      </c>
      <c r="H13" s="27" t="n">
        <f aca="false">G13+H12</f>
        <v>6898490.35</v>
      </c>
      <c r="I13" s="27" t="n">
        <f aca="false">H13+I12</f>
        <v>8289981.64999999</v>
      </c>
      <c r="J13" s="27" t="n">
        <f aca="false">I13+J12</f>
        <v>12308828.85</v>
      </c>
      <c r="K13" s="27" t="n">
        <f aca="false">J13+K12</f>
        <v>18955031.95</v>
      </c>
      <c r="L13" s="27" t="n">
        <f aca="false">K13+L12</f>
        <v>28228590.95</v>
      </c>
      <c r="M13" s="27" t="n">
        <f aca="false">L13+M12</f>
        <v>45384217.65</v>
      </c>
    </row>
    <row r="15" customFormat="false" ht="15" hidden="false" customHeight="false" outlineLevel="0" collapsed="false">
      <c r="A15" s="9" t="s">
        <v>189</v>
      </c>
      <c r="B15" s="27" t="n">
        <f aca="false">COUNTIF(B12:M12,"&gt;0")</f>
        <v>8</v>
      </c>
    </row>
    <row r="16" customFormat="false" ht="15" hidden="false" customHeight="false" outlineLevel="0" collapsed="false">
      <c r="A16" s="9" t="s">
        <v>190</v>
      </c>
      <c r="B16" s="26" t="str">
        <f aca="false">IF(N8&gt;1000000000,"Оборот выше 1 млрд сум — с месяца превышения ИП платит НДС и налог на прибыль","Оборот до 1 млрд сум — налог с оборота 1%")</f>
        <v>Оборот до 1 млрд сум — налог с оборота 1%</v>
      </c>
    </row>
    <row r="18" customFormat="false" ht="15" hidden="false" customHeight="false" outlineLevel="0" collapsed="false">
      <c r="A18" s="7" t="s">
        <v>191</v>
      </c>
      <c r="B18" s="7" t="s">
        <v>111</v>
      </c>
      <c r="C18" s="8"/>
    </row>
    <row r="19" customFormat="false" ht="15" hidden="false" customHeight="false" outlineLevel="0" collapsed="false">
      <c r="A19" s="9" t="s">
        <v>192</v>
      </c>
      <c r="B19" s="10" t="n">
        <v>6500000</v>
      </c>
    </row>
    <row r="20" customFormat="false" ht="15" hidden="false" customHeight="false" outlineLevel="0" collapsed="false">
      <c r="A20" s="9" t="s">
        <v>193</v>
      </c>
      <c r="B20" s="10" t="n">
        <v>6000000</v>
      </c>
    </row>
    <row r="21" customFormat="false" ht="15" hidden="false" customHeight="false" outlineLevel="0" collapsed="false">
      <c r="A21" s="9" t="s">
        <v>194</v>
      </c>
      <c r="B21" s="10" t="n">
        <v>6000000</v>
      </c>
    </row>
    <row r="22" customFormat="false" ht="15" hidden="false" customHeight="false" outlineLevel="0" collapsed="false">
      <c r="A22" s="9" t="s">
        <v>195</v>
      </c>
      <c r="B22" s="10" t="n">
        <v>4000000</v>
      </c>
    </row>
    <row r="23" customFormat="false" ht="15" hidden="false" customHeight="false" outlineLevel="0" collapsed="false">
      <c r="A23" s="9" t="s">
        <v>196</v>
      </c>
      <c r="B23" s="10" t="n">
        <v>18000000</v>
      </c>
    </row>
    <row r="24" customFormat="false" ht="15" hidden="false" customHeight="false" outlineLevel="0" collapsed="false">
      <c r="A24" s="9" t="s">
        <v>197</v>
      </c>
      <c r="B24" s="10" t="n">
        <v>10000000</v>
      </c>
    </row>
    <row r="25" customFormat="false" ht="15" hidden="false" customHeight="false" outlineLevel="0" collapsed="false">
      <c r="A25" s="18" t="s">
        <v>198</v>
      </c>
      <c r="B25" s="24" t="n">
        <f aca="false">SUM(B19:B24)</f>
        <v>50500000</v>
      </c>
    </row>
    <row r="26" customFormat="false" ht="15" hidden="false" customHeight="false" outlineLevel="0" collapsed="false">
      <c r="A26" s="9" t="s">
        <v>199</v>
      </c>
      <c r="B26" s="10" t="n">
        <v>200</v>
      </c>
    </row>
    <row r="27" customFormat="false" ht="15" hidden="false" customHeight="false" outlineLevel="0" collapsed="false">
      <c r="A27" s="9" t="s">
        <v>200</v>
      </c>
      <c r="B27" s="27" t="n">
        <f aca="false">B26*'Юнит-экономика'!$H$18</f>
        <v>62810441</v>
      </c>
      <c r="C27" s="2" t="s">
        <v>201</v>
      </c>
    </row>
    <row r="28" customFormat="false" ht="15" hidden="false" customHeight="false" outlineLevel="0" collapsed="false">
      <c r="A28" s="18" t="s">
        <v>202</v>
      </c>
      <c r="B28" s="19" t="n">
        <f aca="false">B25+B27</f>
        <v>113310441</v>
      </c>
    </row>
    <row r="30" customFormat="false" ht="15" hidden="false" customHeight="false" outlineLevel="0" collapsed="false">
      <c r="A30" s="18" t="s">
        <v>203</v>
      </c>
      <c r="B30" s="24" t="n">
        <f aca="false">B13-$B$25</f>
        <v>-55245288.2</v>
      </c>
      <c r="C30" s="24" t="n">
        <f aca="false">C13-$B$25</f>
        <v>-56049542.55</v>
      </c>
      <c r="D30" s="24" t="n">
        <f aca="false">D13-$B$25</f>
        <v>-46344373.3</v>
      </c>
      <c r="E30" s="24" t="n">
        <f aca="false">E13-$B$25</f>
        <v>-47207593.8</v>
      </c>
      <c r="F30" s="24" t="n">
        <f aca="false">F13-$B$25</f>
        <v>-45443458.4</v>
      </c>
      <c r="G30" s="24" t="n">
        <f aca="false">G13-$B$25</f>
        <v>-42365645.05</v>
      </c>
      <c r="H30" s="24" t="n">
        <f aca="false">H13-$B$25</f>
        <v>-43601509.65</v>
      </c>
      <c r="I30" s="24" t="n">
        <f aca="false">I13-$B$25</f>
        <v>-42210018.35</v>
      </c>
      <c r="J30" s="24" t="n">
        <f aca="false">J13-$B$25</f>
        <v>-38191171.15</v>
      </c>
      <c r="K30" s="24" t="n">
        <f aca="false">K13-$B$25</f>
        <v>-31544968.05</v>
      </c>
      <c r="L30" s="24" t="n">
        <f aca="false">L13-$B$25</f>
        <v>-22271409.05</v>
      </c>
      <c r="M30" s="24" t="n">
        <f aca="false">M13-$B$25</f>
        <v>-5115782.35000002</v>
      </c>
    </row>
    <row r="31" customFormat="false" ht="15" hidden="false" customHeight="false" outlineLevel="0" collapsed="false">
      <c r="A31" s="38" t="s">
        <v>204</v>
      </c>
      <c r="B31" s="39" t="n">
        <f aca="false">IF(B30&gt;=0,1,99)</f>
        <v>99</v>
      </c>
      <c r="C31" s="39" t="n">
        <f aca="false">IF(C30&gt;=0,2,99)</f>
        <v>99</v>
      </c>
      <c r="D31" s="39" t="n">
        <f aca="false">IF(D30&gt;=0,3,99)</f>
        <v>99</v>
      </c>
      <c r="E31" s="39" t="n">
        <f aca="false">IF(E30&gt;=0,4,99)</f>
        <v>99</v>
      </c>
      <c r="F31" s="39" t="n">
        <f aca="false">IF(F30&gt;=0,5,99)</f>
        <v>99</v>
      </c>
      <c r="G31" s="39" t="n">
        <f aca="false">IF(G30&gt;=0,6,99)</f>
        <v>99</v>
      </c>
      <c r="H31" s="39" t="n">
        <f aca="false">IF(H30&gt;=0,7,99)</f>
        <v>99</v>
      </c>
      <c r="I31" s="39" t="n">
        <f aca="false">IF(I30&gt;=0,8,99)</f>
        <v>99</v>
      </c>
      <c r="J31" s="39" t="n">
        <f aca="false">IF(J30&gt;=0,9,99)</f>
        <v>99</v>
      </c>
      <c r="K31" s="39" t="n">
        <f aca="false">IF(K30&gt;=0,10,99)</f>
        <v>99</v>
      </c>
      <c r="L31" s="39" t="n">
        <f aca="false">IF(L30&gt;=0,11,99)</f>
        <v>99</v>
      </c>
      <c r="M31" s="39" t="n">
        <f aca="false">IF(M30&gt;=0,12,99)</f>
        <v>99</v>
      </c>
    </row>
    <row r="32" customFormat="false" ht="15" hidden="false" customHeight="false" outlineLevel="0" collapsed="false">
      <c r="A32" s="18" t="s">
        <v>205</v>
      </c>
      <c r="B32" s="40" t="str">
        <f aca="false">IF(MIN(B31:M31)=99,"позже 12 месяцев",INDEX(B4:M4,MIN(B31:M31)))</f>
        <v>позже 12 месяцев</v>
      </c>
      <c r="C32" s="2" t="s">
        <v>206</v>
      </c>
    </row>
  </sheetData>
  <conditionalFormatting sqref="B12:N13">
    <cfRule type="expression" priority="2" aboveAverage="0" equalAverage="0" bottom="0" percent="0" rank="0" text="" dxfId="1">
      <formula>B12&lt;0</formula>
    </cfRule>
  </conditionalFormatting>
  <conditionalFormatting sqref="B30:M30">
    <cfRule type="expression" priority="3" aboveAverage="0" equalAverage="0" bottom="0" percent="0" rank="0" text="" dxfId="0">
      <formula>B30&lt;0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15" hidden="false" customHeight="false" outlineLevel="0" collapsed="false">
      <c r="A4" s="11" t="s">
        <v>209</v>
      </c>
      <c r="B4" s="32" t="n">
        <f aca="false">'Юнит-экономика'!$H$20</f>
        <v>559000</v>
      </c>
    </row>
    <row r="5" customFormat="false" ht="15" hidden="false" customHeight="false" outlineLevel="0" collapsed="false">
      <c r="A5" s="11" t="s">
        <v>210</v>
      </c>
      <c r="B5" s="32" t="n">
        <f aca="false">'Юнит-экономика'!$H$18</f>
        <v>314052.205</v>
      </c>
    </row>
    <row r="6" customFormat="false" ht="15" hidden="false" customHeight="false" outlineLevel="0" collapsed="false">
      <c r="A6" s="11" t="s">
        <v>211</v>
      </c>
      <c r="B6" s="32" t="n">
        <f aca="false">'Юнит-экономика'!$H$21+'Юнит-экономика'!$H$22</f>
        <v>32400</v>
      </c>
    </row>
    <row r="7" customFormat="false" ht="15" hidden="false" customHeight="false" outlineLevel="0" collapsed="false">
      <c r="A7" s="11" t="s">
        <v>212</v>
      </c>
      <c r="B7" s="41" t="n">
        <f aca="false">IFERROR(('Юнит-экономика'!$H$23+'Юнит-экономика'!$H$24+'Юнит-экономика'!$H$25)/'Юнит-экономика'!$H$20,0)</f>
        <v>0.02</v>
      </c>
    </row>
    <row r="8" customFormat="false" ht="15" hidden="false" customHeight="false" outlineLevel="0" collapsed="false">
      <c r="A8" s="11" t="s">
        <v>158</v>
      </c>
      <c r="B8" s="32" t="n">
        <f aca="false">Допущения!$B$36</f>
        <v>17000000</v>
      </c>
    </row>
    <row r="10" customFormat="false" ht="15" hidden="false" customHeight="false" outlineLevel="0" collapsed="false">
      <c r="A10" s="6" t="s">
        <v>213</v>
      </c>
      <c r="B10" s="42" t="n">
        <v>-0.2</v>
      </c>
      <c r="C10" s="42" t="n">
        <v>-0.15</v>
      </c>
      <c r="D10" s="42" t="n">
        <v>-0.1</v>
      </c>
      <c r="E10" s="42" t="n">
        <v>-0.05</v>
      </c>
      <c r="F10" s="42" t="n">
        <v>0</v>
      </c>
      <c r="G10" s="42" t="n">
        <v>0.05</v>
      </c>
      <c r="H10" s="42" t="n">
        <v>0.1</v>
      </c>
      <c r="I10" s="42" t="n">
        <v>0.15</v>
      </c>
      <c r="J10" s="42" t="n">
        <v>0.2</v>
      </c>
    </row>
    <row r="11" customFormat="false" ht="15" hidden="false" customHeight="false" outlineLevel="0" collapsed="false">
      <c r="A11" s="17" t="n">
        <v>40000</v>
      </c>
      <c r="B11" s="43" t="n">
        <f aca="false">IF(($B$4*(1+B$10)*(1-$B$7)-$B$5-$B$6-$A11)&lt;=0,"убыток",$B$8/($B$4*(1+B$10)*(1-$B$7)-$B$5-$B$6-$A11))</f>
        <v>328.161286253256</v>
      </c>
      <c r="C11" s="43" t="n">
        <f aca="false">IF(($B$4*(1+C$10)*(1-$B$7)-$B$5-$B$6-$A11)&lt;=0,"убыток",$B$8/($B$4*(1+C$10)*(1-$B$7)-$B$5-$B$6-$A11))</f>
        <v>214.660572074213</v>
      </c>
      <c r="D11" s="43" t="n">
        <f aca="false">IF(($B$4*(1+D$10)*(1-$B$7)-$B$5-$B$6-$A11)&lt;=0,"убыток",$B$8/($B$4*(1+D$10)*(1-$B$7)-$B$5-$B$6-$A11))</f>
        <v>159.495925324758</v>
      </c>
      <c r="E11" s="43" t="n">
        <f aca="false">IF(($B$4*(1+E$10)*(1-$B$7)-$B$5-$B$6-$A11)&lt;=0,"убыток",$B$8/($B$4*(1+E$10)*(1-$B$7)-$B$5-$B$6-$A11))</f>
        <v>126.887644983596</v>
      </c>
      <c r="F11" s="43" t="n">
        <f aca="false">IF(($B$4*(1+F$10)*(1-$B$7)-$B$5-$B$6-$A11)&lt;=0,"убыток",$B$8/($B$4*(1+F$10)*(1-$B$7)-$B$5-$B$6-$A11))</f>
        <v>105.349397629186</v>
      </c>
      <c r="G11" s="43" t="n">
        <f aca="false">IF(($B$4*(1+G$10)*(1-$B$7)-$B$5-$B$6-$A11)&lt;=0,"убыток",$B$8/($B$4*(1+G$10)*(1-$B$7)-$B$5-$B$6-$A11))</f>
        <v>90.062028632891</v>
      </c>
      <c r="H11" s="43" t="n">
        <f aca="false">IF(($B$4*(1+H$10)*(1-$B$7)-$B$5-$B$6-$A11)&lt;=0,"убыток",$B$8/($B$4*(1+H$10)*(1-$B$7)-$B$5-$B$6-$A11))</f>
        <v>78.6491608747536</v>
      </c>
      <c r="I11" s="43" t="n">
        <f aca="false">IF(($B$4*(1+I$10)*(1-$B$7)-$B$5-$B$6-$A11)&lt;=0,"убыток",$B$8/($B$4*(1+I$10)*(1-$B$7)-$B$5-$B$6-$A11))</f>
        <v>69.8035004771993</v>
      </c>
      <c r="J11" s="43" t="n">
        <f aca="false">IF(($B$4*(1+J$10)*(1-$B$7)-$B$5-$B$6-$A11)&lt;=0,"убыток",$B$8/($B$4*(1+J$10)*(1-$B$7)-$B$5-$B$6-$A11))</f>
        <v>62.7464192602422</v>
      </c>
    </row>
    <row r="12" customFormat="false" ht="15" hidden="false" customHeight="false" outlineLevel="0" collapsed="false">
      <c r="A12" s="17" t="n">
        <v>50000</v>
      </c>
      <c r="B12" s="43" t="n">
        <f aca="false">IF(($B$4*(1+B$10)*(1-$B$7)-$B$5-$B$6-$A12)&lt;=0,"убыток",$B$8/($B$4*(1+B$10)*(1-$B$7)-$B$5-$B$6-$A12))</f>
        <v>406.661643996676</v>
      </c>
      <c r="C12" s="43" t="n">
        <f aca="false">IF(($B$4*(1+C$10)*(1-$B$7)-$B$5-$B$6-$A12)&lt;=0,"убыток",$B$8/($B$4*(1+C$10)*(1-$B$7)-$B$5-$B$6-$A12))</f>
        <v>245.68321938088</v>
      </c>
      <c r="D12" s="43" t="n">
        <f aca="false">IF(($B$4*(1+D$10)*(1-$B$7)-$B$5-$B$6-$A12)&lt;=0,"убыток",$B$8/($B$4*(1+D$10)*(1-$B$7)-$B$5-$B$6-$A12))</f>
        <v>176.009318968695</v>
      </c>
      <c r="E12" s="43" t="n">
        <f aca="false">IF(($B$4*(1+E$10)*(1-$B$7)-$B$5-$B$6-$A12)&lt;=0,"убыток",$B$8/($B$4*(1+E$10)*(1-$B$7)-$B$5-$B$6-$A12))</f>
        <v>137.122434887916</v>
      </c>
      <c r="F12" s="43" t="n">
        <f aca="false">IF(($B$4*(1+F$10)*(1-$B$7)-$B$5-$B$6-$A12)&lt;=0,"убыток",$B$8/($B$4*(1+F$10)*(1-$B$7)-$B$5-$B$6-$A12))</f>
        <v>112.309226675331</v>
      </c>
      <c r="G12" s="43" t="n">
        <f aca="false">IF(($B$4*(1+G$10)*(1-$B$7)-$B$5-$B$6-$A12)&lt;=0,"убыток",$B$8/($B$4*(1+G$10)*(1-$B$7)-$B$5-$B$6-$A12))</f>
        <v>95.1002159082578</v>
      </c>
      <c r="H12" s="43" t="n">
        <f aca="false">IF(($B$4*(1+H$10)*(1-$B$7)-$B$5-$B$6-$A12)&lt;=0,"убыток",$B$8/($B$4*(1+H$10)*(1-$B$7)-$B$5-$B$6-$A12))</f>
        <v>82.4643070831092</v>
      </c>
      <c r="I12" s="43" t="n">
        <f aca="false">IF(($B$4*(1+I$10)*(1-$B$7)-$B$5-$B$6-$A12)&lt;=0,"убыток",$B$8/($B$4*(1+I$10)*(1-$B$7)-$B$5-$B$6-$A12))</f>
        <v>72.7924215553004</v>
      </c>
      <c r="J12" s="43" t="n">
        <f aca="false">IF(($B$4*(1+J$10)*(1-$B$7)-$B$5-$B$6-$A12)&lt;=0,"убыток",$B$8/($B$4*(1+J$10)*(1-$B$7)-$B$5-$B$6-$A12))</f>
        <v>65.1511250286689</v>
      </c>
    </row>
    <row r="13" customFormat="false" ht="15" hidden="false" customHeight="false" outlineLevel="0" collapsed="false">
      <c r="A13" s="17" t="n">
        <v>60000</v>
      </c>
      <c r="B13" s="43" t="n">
        <f aca="false">IF(($B$4*(1+B$10)*(1-$B$7)-$B$5-$B$6-$A13)&lt;=0,"убыток",$B$8/($B$4*(1+B$10)*(1-$B$7)-$B$5-$B$6-$A13))</f>
        <v>534.527404669789</v>
      </c>
      <c r="C13" s="43" t="n">
        <f aca="false">IF(($B$4*(1+C$10)*(1-$B$7)-$B$5-$B$6-$A13)&lt;=0,"убыток",$B$8/($B$4*(1+C$10)*(1-$B$7)-$B$5-$B$6-$A13))</f>
        <v>287.18741233921</v>
      </c>
      <c r="D13" s="43" t="n">
        <f aca="false">IF(($B$4*(1+D$10)*(1-$B$7)-$B$5-$B$6-$A13)&lt;=0,"убыток",$B$8/($B$4*(1+D$10)*(1-$B$7)-$B$5-$B$6-$A13))</f>
        <v>196.337055056202</v>
      </c>
      <c r="E13" s="43" t="n">
        <f aca="false">IF(($B$4*(1+E$10)*(1-$B$7)-$B$5-$B$6-$A13)&lt;=0,"убыток",$B$8/($B$4*(1+E$10)*(1-$B$7)-$B$5-$B$6-$A13))</f>
        <v>149.153167537304</v>
      </c>
      <c r="F13" s="43" t="n">
        <f aca="false">IF(($B$4*(1+F$10)*(1-$B$7)-$B$5-$B$6-$A13)&lt;=0,"убыток",$B$8/($B$4*(1+F$10)*(1-$B$7)-$B$5-$B$6-$A13))</f>
        <v>120.253697102653</v>
      </c>
      <c r="G13" s="43" t="n">
        <f aca="false">IF(($B$4*(1+G$10)*(1-$B$7)-$B$5-$B$6-$A13)&lt;=0,"убыток",$B$8/($B$4*(1+G$10)*(1-$B$7)-$B$5-$B$6-$A13))</f>
        <v>100.735490556211</v>
      </c>
      <c r="H13" s="43" t="n">
        <f aca="false">IF(($B$4*(1+H$10)*(1-$B$7)-$B$5-$B$6-$A13)&lt;=0,"убыток",$B$8/($B$4*(1+H$10)*(1-$B$7)-$B$5-$B$6-$A13))</f>
        <v>86.6684566252032</v>
      </c>
      <c r="I13" s="43" t="n">
        <f aca="false">IF(($B$4*(1+I$10)*(1-$B$7)-$B$5-$B$6-$A13)&lt;=0,"убыток",$B$8/($B$4*(1+I$10)*(1-$B$7)-$B$5-$B$6-$A13))</f>
        <v>76.0487587959057</v>
      </c>
      <c r="J13" s="43" t="n">
        <f aca="false">IF(($B$4*(1+J$10)*(1-$B$7)-$B$5-$B$6-$A13)&lt;=0,"убыток",$B$8/($B$4*(1+J$10)*(1-$B$7)-$B$5-$B$6-$A13))</f>
        <v>67.7474928994152</v>
      </c>
    </row>
    <row r="14" customFormat="false" ht="15" hidden="false" customHeight="false" outlineLevel="0" collapsed="false">
      <c r="A14" s="17" t="n">
        <v>70000</v>
      </c>
      <c r="B14" s="43" t="n">
        <f aca="false">IF(($B$4*(1+B$10)*(1-$B$7)-$B$5-$B$6-$A14)&lt;=0,"убыток",$B$8/($B$4*(1+B$10)*(1-$B$7)-$B$5-$B$6-$A14))</f>
        <v>779.680784927579</v>
      </c>
      <c r="C14" s="43" t="n">
        <f aca="false">IF(($B$4*(1+C$10)*(1-$B$7)-$B$5-$B$6-$A14)&lt;=0,"убыток",$B$8/($B$4*(1+C$10)*(1-$B$7)-$B$5-$B$6-$A14))</f>
        <v>345.56501353446</v>
      </c>
      <c r="D14" s="43" t="n">
        <f aca="false">IF(($B$4*(1+D$10)*(1-$B$7)-$B$5-$B$6-$A14)&lt;=0,"убыток",$B$8/($B$4*(1+D$10)*(1-$B$7)-$B$5-$B$6-$A14))</f>
        <v>221.973278465021</v>
      </c>
      <c r="E14" s="43" t="n">
        <f aca="false">IF(($B$4*(1+E$10)*(1-$B$7)-$B$5-$B$6-$A14)&lt;=0,"убыток",$B$8/($B$4*(1+E$10)*(1-$B$7)-$B$5-$B$6-$A14))</f>
        <v>163.498018957018</v>
      </c>
      <c r="F14" s="43" t="n">
        <f aca="false">IF(($B$4*(1+F$10)*(1-$B$7)-$B$5-$B$6-$A14)&lt;=0,"убыток",$B$8/($B$4*(1+F$10)*(1-$B$7)-$B$5-$B$6-$A14))</f>
        <v>129.407667990469</v>
      </c>
      <c r="G14" s="43" t="n">
        <f aca="false">IF(($B$4*(1+G$10)*(1-$B$7)-$B$5-$B$6-$A14)&lt;=0,"убыток",$B$8/($B$4*(1+G$10)*(1-$B$7)-$B$5-$B$6-$A14))</f>
        <v>107.080681734829</v>
      </c>
      <c r="H14" s="43" t="n">
        <f aca="false">IF(($B$4*(1+H$10)*(1-$B$7)-$B$5-$B$6-$A14)&lt;=0,"убыток",$B$8/($B$4*(1+H$10)*(1-$B$7)-$B$5-$B$6-$A14))</f>
        <v>91.3243014852635</v>
      </c>
      <c r="I14" s="43" t="n">
        <f aca="false">IF(($B$4*(1+I$10)*(1-$B$7)-$B$5-$B$6-$A14)&lt;=0,"убыток",$B$8/($B$4*(1+I$10)*(1-$B$7)-$B$5-$B$6-$A14))</f>
        <v>79.6100810620285</v>
      </c>
      <c r="J14" s="43" t="n">
        <f aca="false">IF(($B$4*(1+J$10)*(1-$B$7)-$B$5-$B$6-$A14)&lt;=0,"убыток",$B$8/($B$4*(1+J$10)*(1-$B$7)-$B$5-$B$6-$A14))</f>
        <v>70.5593879794902</v>
      </c>
    </row>
    <row r="15" customFormat="false" ht="15" hidden="false" customHeight="false" outlineLevel="0" collapsed="false">
      <c r="A15" s="17" t="n">
        <v>80000</v>
      </c>
      <c r="B15" s="43" t="n">
        <f aca="false">IF(($B$4*(1+B$10)*(1-$B$7)-$B$5-$B$6-$A15)&lt;=0,"убыток",$B$8/($B$4*(1+B$10)*(1-$B$7)-$B$5-$B$6-$A15))</f>
        <v>1440.21477838272</v>
      </c>
      <c r="C15" s="43" t="n">
        <f aca="false">IF(($B$4*(1+C$10)*(1-$B$7)-$B$5-$B$6-$A15)&lt;=0,"убыток",$B$8/($B$4*(1+C$10)*(1-$B$7)-$B$5-$B$6-$A15))</f>
        <v>433.731060463513</v>
      </c>
      <c r="D15" s="43" t="n">
        <f aca="false">IF(($B$4*(1+D$10)*(1-$B$7)-$B$5-$B$6-$A15)&lt;=0,"убыток",$B$8/($B$4*(1+D$10)*(1-$B$7)-$B$5-$B$6-$A15))</f>
        <v>255.309709826248</v>
      </c>
      <c r="E15" s="43" t="n">
        <f aca="false">IF(($B$4*(1+E$10)*(1-$B$7)-$B$5-$B$6-$A15)&lt;=0,"убыток",$B$8/($B$4*(1+E$10)*(1-$B$7)-$B$5-$B$6-$A15))</f>
        <v>180.895720055148</v>
      </c>
      <c r="F15" s="43" t="n">
        <f aca="false">IF(($B$4*(1+F$10)*(1-$B$7)-$B$5-$B$6-$A15)&lt;=0,"убыток",$B$8/($B$4*(1+F$10)*(1-$B$7)-$B$5-$B$6-$A15))</f>
        <v>140.070106736305</v>
      </c>
      <c r="G15" s="43" t="n">
        <f aca="false">IF(($B$4*(1+G$10)*(1-$B$7)-$B$5-$B$6-$A15)&lt;=0,"убыток",$B$8/($B$4*(1+G$10)*(1-$B$7)-$B$5-$B$6-$A15))</f>
        <v>114.278957422316</v>
      </c>
      <c r="H15" s="43" t="n">
        <f aca="false">IF(($B$4*(1+H$10)*(1-$B$7)-$B$5-$B$6-$A15)&lt;=0,"убыток",$B$8/($B$4*(1+H$10)*(1-$B$7)-$B$5-$B$6-$A15))</f>
        <v>96.5087697093261</v>
      </c>
      <c r="I15" s="43" t="n">
        <f aca="false">IF(($B$4*(1+I$10)*(1-$B$7)-$B$5-$B$6-$A15)&lt;=0,"убыток",$B$8/($B$4*(1+I$10)*(1-$B$7)-$B$5-$B$6-$A15))</f>
        <v>83.5213402797213</v>
      </c>
      <c r="J15" s="43" t="n">
        <f aca="false">IF(($B$4*(1+J$10)*(1-$B$7)-$B$5-$B$6-$A15)&lt;=0,"убыток",$B$8/($B$4*(1+J$10)*(1-$B$7)-$B$5-$B$6-$A15))</f>
        <v>73.6148090824826</v>
      </c>
    </row>
    <row r="16" customFormat="false" ht="15" hidden="false" customHeight="false" outlineLevel="0" collapsed="false">
      <c r="A16" s="17" t="n">
        <v>90000</v>
      </c>
      <c r="B16" s="43" t="n">
        <f aca="false">IF(($B$4*(1+B$10)*(1-$B$7)-$B$5-$B$6-$A16)&lt;=0,"убыток",$B$8/($B$4*(1+B$10)*(1-$B$7)-$B$5-$B$6-$A16))</f>
        <v>9424.57430029474</v>
      </c>
      <c r="C16" s="43" t="n">
        <f aca="false">IF(($B$4*(1+C$10)*(1-$B$7)-$B$5-$B$6-$A16)&lt;=0,"убыток",$B$8/($B$4*(1+C$10)*(1-$B$7)-$B$5-$B$6-$A16))</f>
        <v>582.295577002682</v>
      </c>
      <c r="D16" s="43" t="n">
        <f aca="false">IF(($B$4*(1+D$10)*(1-$B$7)-$B$5-$B$6-$A16)&lt;=0,"убыток",$B$8/($B$4*(1+D$10)*(1-$B$7)-$B$5-$B$6-$A16))</f>
        <v>300.428756015534</v>
      </c>
      <c r="E16" s="43" t="n">
        <f aca="false">IF(($B$4*(1+E$10)*(1-$B$7)-$B$5-$B$6-$A16)&lt;=0,"убыток",$B$8/($B$4*(1+E$10)*(1-$B$7)-$B$5-$B$6-$A16))</f>
        <v>202.436875567828</v>
      </c>
      <c r="F16" s="43" t="n">
        <f aca="false">IF(($B$4*(1+F$10)*(1-$B$7)-$B$5-$B$6-$A16)&lt;=0,"убыток",$B$8/($B$4*(1+F$10)*(1-$B$7)-$B$5-$B$6-$A16))</f>
        <v>152.647360935897</v>
      </c>
      <c r="G16" s="43" t="n">
        <f aca="false">IF(($B$4*(1+G$10)*(1-$B$7)-$B$5-$B$6-$A16)&lt;=0,"убыток",$B$8/($B$4*(1+G$10)*(1-$B$7)-$B$5-$B$6-$A16))</f>
        <v>122.514756632183</v>
      </c>
      <c r="H16" s="43" t="n">
        <f aca="false">IF(($B$4*(1+H$10)*(1-$B$7)-$B$5-$B$6-$A16)&lt;=0,"убыток",$B$8/($B$4*(1+H$10)*(1-$B$7)-$B$5-$B$6-$A16))</f>
        <v>102.317309509771</v>
      </c>
      <c r="I16" s="43" t="n">
        <f aca="false">IF(($B$4*(1+I$10)*(1-$B$7)-$B$5-$B$6-$A16)&lt;=0,"убыток",$B$8/($B$4*(1+I$10)*(1-$B$7)-$B$5-$B$6-$A16))</f>
        <v>87.8367788041793</v>
      </c>
      <c r="J16" s="43" t="n">
        <f aca="false">IF(($B$4*(1+J$10)*(1-$B$7)-$B$5-$B$6-$A16)&lt;=0,"убыток",$B$8/($B$4*(1+J$10)*(1-$B$7)-$B$5-$B$6-$A16))</f>
        <v>76.9468242450119</v>
      </c>
    </row>
    <row r="17" customFormat="false" ht="15" hidden="false" customHeight="false" outlineLevel="0" collapsed="false">
      <c r="A17" s="17" t="n">
        <v>100000</v>
      </c>
      <c r="B17" s="43" t="str">
        <f aca="false">IF(($B$4*(1+B$10)*(1-$B$7)-$B$5-$B$6-$A17)&lt;=0,"убыток",$B$8/($B$4*(1+B$10)*(1-$B$7)-$B$5-$B$6-$A17))</f>
        <v>убыток</v>
      </c>
      <c r="C17" s="43" t="n">
        <f aca="false">IF(($B$4*(1+C$10)*(1-$B$7)-$B$5-$B$6-$A17)&lt;=0,"убыток",$B$8/($B$4*(1+C$10)*(1-$B$7)-$B$5-$B$6-$A17))</f>
        <v>885.656762679675</v>
      </c>
      <c r="D17" s="43" t="n">
        <f aca="false">IF(($B$4*(1+D$10)*(1-$B$7)-$B$5-$B$6-$A17)&lt;=0,"убыток",$B$8/($B$4*(1+D$10)*(1-$B$7)-$B$5-$B$6-$A17))</f>
        <v>364.918104327725</v>
      </c>
      <c r="E17" s="43" t="n">
        <f aca="false">IF(($B$4*(1+E$10)*(1-$B$7)-$B$5-$B$6-$A17)&lt;=0,"убыток",$B$8/($B$4*(1+E$10)*(1-$B$7)-$B$5-$B$6-$A17))</f>
        <v>229.801791223856</v>
      </c>
      <c r="F17" s="43" t="n">
        <f aca="false">IF(($B$4*(1+F$10)*(1-$B$7)-$B$5-$B$6-$A17)&lt;=0,"убыток",$B$8/($B$4*(1+F$10)*(1-$B$7)-$B$5-$B$6-$A17))</f>
        <v>167.706124020948</v>
      </c>
      <c r="G17" s="43" t="n">
        <f aca="false">IF(($B$4*(1+G$10)*(1-$B$7)-$B$5-$B$6-$A17)&lt;=0,"убыток",$B$8/($B$4*(1+G$10)*(1-$B$7)-$B$5-$B$6-$A17))</f>
        <v>132.029815905003</v>
      </c>
      <c r="H17" s="43" t="n">
        <f aca="false">IF(($B$4*(1+H$10)*(1-$B$7)-$B$5-$B$6-$A17)&lt;=0,"убыток",$B$8/($B$4*(1+H$10)*(1-$B$7)-$B$5-$B$6-$A17))</f>
        <v>108.869819521697</v>
      </c>
      <c r="I17" s="43" t="n">
        <f aca="false">IF(($B$4*(1+I$10)*(1-$B$7)-$B$5-$B$6-$A17)&lt;=0,"убыток",$B$8/($B$4*(1+I$10)*(1-$B$7)-$B$5-$B$6-$A17))</f>
        <v>92.6224603091645</v>
      </c>
      <c r="J17" s="43" t="n">
        <f aca="false">IF(($B$4*(1+J$10)*(1-$B$7)-$B$5-$B$6-$A17)&lt;=0,"убыток",$B$8/($B$4*(1+J$10)*(1-$B$7)-$B$5-$B$6-$A17))</f>
        <v>80.5947723528357</v>
      </c>
    </row>
    <row r="18" customFormat="false" ht="15" hidden="false" customHeight="false" outlineLevel="0" collapsed="false">
      <c r="A18" s="17" t="n">
        <v>110000</v>
      </c>
      <c r="B18" s="43" t="str">
        <f aca="false">IF(($B$4*(1+B$10)*(1-$B$7)-$B$5-$B$6-$A18)&lt;=0,"убыток",$B$8/($B$4*(1+B$10)*(1-$B$7)-$B$5-$B$6-$A18))</f>
        <v>убыток</v>
      </c>
      <c r="C18" s="43" t="n">
        <f aca="false">IF(($B$4*(1+C$10)*(1-$B$7)-$B$5-$B$6-$A18)&lt;=0,"убыток",$B$8/($B$4*(1+C$10)*(1-$B$7)-$B$5-$B$6-$A18))</f>
        <v>1848.87210644718</v>
      </c>
      <c r="D18" s="43" t="n">
        <f aca="false">IF(($B$4*(1+D$10)*(1-$B$7)-$B$5-$B$6-$A18)&lt;=0,"убыток",$B$8/($B$4*(1+D$10)*(1-$B$7)-$B$5-$B$6-$A18))</f>
        <v>464.661216190601</v>
      </c>
      <c r="E18" s="43" t="n">
        <f aca="false">IF(($B$4*(1+E$10)*(1-$B$7)-$B$5-$B$6-$A18)&lt;=0,"убыток",$B$8/($B$4*(1+E$10)*(1-$B$7)-$B$5-$B$6-$A18))</f>
        <v>265.721344746951</v>
      </c>
      <c r="F18" s="43" t="n">
        <f aca="false">IF(($B$4*(1+F$10)*(1-$B$7)-$B$5-$B$6-$A18)&lt;=0,"убыток",$B$8/($B$4*(1+F$10)*(1-$B$7)-$B$5-$B$6-$A18))</f>
        <v>186.061182717609</v>
      </c>
      <c r="G18" s="43" t="n">
        <f aca="false">IF(($B$4*(1+G$10)*(1-$B$7)-$B$5-$B$6-$A18)&lt;=0,"убыток",$B$8/($B$4*(1+G$10)*(1-$B$7)-$B$5-$B$6-$A18))</f>
        <v>143.147292796294</v>
      </c>
      <c r="H18" s="43" t="n">
        <f aca="false">IF(($B$4*(1+H$10)*(1-$B$7)-$B$5-$B$6-$A18)&lt;=0,"убыток",$B$8/($B$4*(1+H$10)*(1-$B$7)-$B$5-$B$6-$A18))</f>
        <v>116.319013653081</v>
      </c>
      <c r="I18" s="43" t="n">
        <f aca="false">IF(($B$4*(1+I$10)*(1-$B$7)-$B$5-$B$6-$A18)&lt;=0,"убыток",$B$8/($B$4*(1+I$10)*(1-$B$7)-$B$5-$B$6-$A18))</f>
        <v>97.9596757062223</v>
      </c>
      <c r="J18" s="43" t="n">
        <f aca="false">IF(($B$4*(1+J$10)*(1-$B$7)-$B$5-$B$6-$A18)&lt;=0,"убыток",$B$8/($B$4*(1+J$10)*(1-$B$7)-$B$5-$B$6-$A18))</f>
        <v>84.6058235830721</v>
      </c>
    </row>
    <row r="19" customFormat="false" ht="15" hidden="false" customHeight="false" outlineLevel="0" collapsed="false">
      <c r="A19" s="17" t="n">
        <v>120000</v>
      </c>
      <c r="B19" s="43" t="str">
        <f aca="false">IF(($B$4*(1+B$10)*(1-$B$7)-$B$5-$B$6-$A19)&lt;=0,"убыток",$B$8/($B$4*(1+B$10)*(1-$B$7)-$B$5-$B$6-$A19))</f>
        <v>убыток</v>
      </c>
      <c r="C19" s="43" t="str">
        <f aca="false">IF(($B$4*(1+C$10)*(1-$B$7)-$B$5-$B$6-$A19)&lt;=0,"убыток",$B$8/($B$4*(1+C$10)*(1-$B$7)-$B$5-$B$6-$A19))</f>
        <v>убыток</v>
      </c>
      <c r="D19" s="43" t="n">
        <f aca="false">IF(($B$4*(1+D$10)*(1-$B$7)-$B$5-$B$6-$A19)&lt;=0,"убыток",$B$8/($B$4*(1+D$10)*(1-$B$7)-$B$5-$B$6-$A19))</f>
        <v>639.439219327465</v>
      </c>
      <c r="E19" s="43" t="n">
        <f aca="false">IF(($B$4*(1+E$10)*(1-$B$7)-$B$5-$B$6-$A19)&lt;=0,"убыток",$B$8/($B$4*(1+E$10)*(1-$B$7)-$B$5-$B$6-$A19))</f>
        <v>314.950155895696</v>
      </c>
      <c r="F19" s="43" t="n">
        <f aca="false">IF(($B$4*(1+F$10)*(1-$B$7)-$B$5-$B$6-$A19)&lt;=0,"убыток",$B$8/($B$4*(1+F$10)*(1-$B$7)-$B$5-$B$6-$A19))</f>
        <v>208.927868820828</v>
      </c>
      <c r="G19" s="43" t="n">
        <f aca="false">IF(($B$4*(1+G$10)*(1-$B$7)-$B$5-$B$6-$A19)&lt;=0,"убыток",$B$8/($B$4*(1+G$10)*(1-$B$7)-$B$5-$B$6-$A19))</f>
        <v>156.30919779867</v>
      </c>
      <c r="H19" s="43" t="n">
        <f aca="false">IF(($B$4*(1+H$10)*(1-$B$7)-$B$5-$B$6-$A19)&lt;=0,"убыток",$B$8/($B$4*(1+H$10)*(1-$B$7)-$B$5-$B$6-$A19))</f>
        <v>124.862472249775</v>
      </c>
      <c r="I19" s="43" t="n">
        <f aca="false">IF(($B$4*(1+I$10)*(1-$B$7)-$B$5-$B$6-$A19)&lt;=0,"убыток",$B$8/($B$4*(1+I$10)*(1-$B$7)-$B$5-$B$6-$A19))</f>
        <v>103.949598630727</v>
      </c>
      <c r="J19" s="43" t="n">
        <f aca="false">IF(($B$4*(1+J$10)*(1-$B$7)-$B$5-$B$6-$A19)&lt;=0,"убыток",$B$8/($B$4*(1+J$10)*(1-$B$7)-$B$5-$B$6-$A19))</f>
        <v>89.0370302128045</v>
      </c>
    </row>
    <row r="21" customFormat="false" ht="15" hidden="false" customHeight="false" outlineLevel="0" collapsed="false">
      <c r="A21" s="2" t="s">
        <v>214</v>
      </c>
    </row>
    <row r="22" customFormat="false" ht="15" hidden="false" customHeight="false" outlineLevel="0" collapsed="false">
      <c r="A22" s="2" t="s">
        <v>215</v>
      </c>
    </row>
  </sheetData>
  <conditionalFormatting sqref="B11:J19">
    <cfRule type="colorScale" priority="2">
      <colorScale>
        <cfvo type="num" val="80"/>
        <cfvo type="num" val="150"/>
        <cfvo type="num" val="300"/>
        <color rgb="FFC6EFCE"/>
        <color rgb="FFFFEB9C"/>
        <color rgb="FFFFC7CE"/>
      </colorScale>
    </cfRule>
    <cfRule type="expression" priority="3" aboveAverage="0" equalAverage="0" bottom="0" percent="0" rank="0" text="" dxfId="2">
      <formula>B11="убыток"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2026-10-04T18:25:33Z</dcterms:created>
  <dc:creator>openpyxl</dc:creator>
  <dc:description/>
  <dc:language>en-US</dc:language>
  <cp:lastModifiedBy/>
  <dcterms:modified xsi:type="dcterms:W3CDTF">2026-10-04T18:25:33Z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
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Допущения" sheetId="2" state="visible" r:id="rId4"/>
    <sheet name="Юнит-экономика" sheetId="3" state="visible" r:id="rId5"/>
    <sheet name="Прогноз" sheetId="4" state="visible" r:id="rId6"/>
    <sheet name="Чувствительность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37" authorId="0">
      <text>
        <r>
          <rPr>
            <sz val="10"/>
            <rFont val="Arial"/>
            <family val="2"/>
          </rPr>
          <t xml:space="preserve">Сколько заказов в месяц нужно, чтобы покрыть постоянные расходы. Считается по средней колонке H.</t>
        </r>
      </text>
    </comment>
  </commentList>
</comments>
</file>

<file path=xl/sharedStrings.xml><?xml version="1.0" encoding="utf-8"?>
<sst xmlns="http://schemas.openxmlformats.org/spreadsheetml/2006/main" count="298" uniqueCount="252">
  <si>
    <t xml:space="preserve">Калькулятор юнит-экономики: онлайн-магазин женских сумок, Ташкент</t>
  </si>
  <si>
    <t xml:space="preserve">Связан с бизнес-планом: стартовые цифры совпадают с базовым сценарием плана (октябрь 2026).</t>
  </si>
  <si>
    <t xml:space="preserve">Как пользоваться</t>
  </si>
  <si>
    <t xml:space="preserve">1. «Допущения» — курсы, пошлина, доставка, реклама, канал продаж (список в ячейке B21), постоянные расходы. Меняйте под свои данные.</t>
  </si>
  <si>
    <t xml:space="preserve">2. «Юнит-экономика» — по каждой модели: закупка в юанях, розничная цена, доля в продажах. Итог — сколько остаётся с заказа и точка безубыточности (колонка «Средняя по долям»).</t>
  </si>
  <si>
    <t xml:space="preserve">3. «Прогноз» — введите план выкупленных заказов по месяцам и долю постоянных расходов на старте: увидите прибыль по месяцам, окупаемость и сколько денег нужно с учётом закупок товара.</t>
  </si>
  <si>
    <t xml:space="preserve">4. «Чувствительность» — сколько заказов в месяц нужно при другой цене и другой стоимости рекламы.</t>
  </si>
  <si>
    <t xml:space="preserve">Главные понятия</t>
  </si>
  <si>
    <t xml:space="preserve">Себестоимость в Ташкенте — сколько стоит одна сумка на нашем складе: закупка, байер, упаковка, доставка, пошлина, НДС, брокер.</t>
  </si>
  <si>
    <t xml:space="preserve">Остаётся с заказа — цена минус себестоимость и все расходы на продажу (доставка, налог, комиссии, реклама). Из этих денег платятся постоянные расходы.</t>
  </si>
  <si>
    <t xml:space="preserve">Точка безубыточности — сколько заказов в месяц нужно, чтобы покрыть постоянные расходы.</t>
  </si>
  <si>
    <t xml:space="preserve">Обозначения</t>
  </si>
  <si>
    <t xml:space="preserve">Синий текст на жёлтом фоне — ячейки для ввода. Синий текст без заливки — дополнительные настройки (названия месяцев, сдвиги цены на листе «Чувствительность»).</t>
  </si>
  <si>
    <t xml:space="preserve">Чёрный текст — формулы, не трогайте. Зелёный — ссылка на другой лист.</t>
  </si>
  <si>
    <t xml:space="preserve">Голубая заливка — ключевые итоги. Красный текст — убыток или предупреждение.</t>
  </si>
  <si>
    <t xml:space="preserve">Что проверить в первую очередь</t>
  </si>
  <si>
    <t xml:space="preserve">• Ставку пошлины по коду 4202 — у таможенного брокера до оплаты фабрике (в расчёте 20%).</t>
  </si>
  <si>
    <t xml:space="preserve">• Ставку налога с оборота для продаж через Telegram и Instagram — у бухгалтера (в расчёте 1%, возможно 4%).</t>
  </si>
  <si>
    <t xml:space="preserve">• Цену фабрики и упаковки — по ответам 3–5 фабрик на 1688 или Alibaba.</t>
  </si>
  <si>
    <t xml:space="preserve">• Стоимость рекламы на заказ — по первым 2–4 неделям продаж.</t>
  </si>
  <si>
    <t xml:space="preserve">• Статьи, которых нет в бизнес-плане и которые стоят на нуле: брак, возвраты, расходы на перевод в Китай, соцналог и налоги с зарплаты. Поставьте свои оценки.</t>
  </si>
  <si>
    <t xml:space="preserve">• Комиссию Uzum для категории «сумки» — в кабинете продавца, если переключаете канал на Uzum Market.</t>
  </si>
  <si>
    <t xml:space="preserve">Источники</t>
  </si>
  <si>
    <t xml:space="preserve">Курс доллара: uz.kursiv.media/2026-10-01/kurs-dollara-uzbekistan</t>
  </si>
  <si>
    <t xml:space="preserve">Пошлина на сумки (2018): norma.uz/raznoe/stavki_importnyh_tamojennyh_poshlin_kotorye_predlagaetsya_povysit</t>
  </si>
  <si>
    <t xml:space="preserve">НДС при ввозе 12%: uz2b.uz/en/blog/customs-duties-import-taxes-uzbekistan-2026</t>
  </si>
  <si>
    <t xml:space="preserve">Налог с оборота: buxgalter.uz/publish/doc/text212712_nk-2026_izmeneniya_po_nalogu_s_oborota_dlya_ip_i_samozanyatyh</t>
  </si>
  <si>
    <t xml:space="preserve">Комиссии и логистика Uzum: billz.io/blog/marketplace-uzbekistana-kakoy-vybrat</t>
  </si>
  <si>
    <t xml:space="preserve">Допущения: общие для всех моделей</t>
  </si>
  <si>
    <t xml:space="preserve">Синие цифры на жёлтом фоне — вводите свои значения. Остальные листы пересчитаются сами; на листе «Прогноз» отдельно вводятся план заказов и доля расходов в первые месяцы.</t>
  </si>
  <si>
    <t xml:space="preserve">Параметр</t>
  </si>
  <si>
    <t xml:space="preserve">Значение</t>
  </si>
  <si>
    <t xml:space="preserve">Единица</t>
  </si>
  <si>
    <t xml:space="preserve">Источник / комментарий</t>
  </si>
  <si>
    <t xml:space="preserve">Курсы валют</t>
  </si>
  <si>
    <t xml:space="preserve">Курс доллара</t>
  </si>
  <si>
    <t xml:space="preserve">сум за $1</t>
  </si>
  <si>
    <t xml:space="preserve">ЦБ Узбекистана на 01.10.2026: 11 808,76 сума (uz.kursiv.media). Обновляйте перед каждой закупкой.</t>
  </si>
  <si>
    <t xml:space="preserve">Курс юаня</t>
  </si>
  <si>
    <t xml:space="preserve">сум за ¥1</t>
  </si>
  <si>
    <t xml:space="preserve">Допущение: курс доллара / ~7,15. Уточните курс у байера или банка перед оплатой фабрике.</t>
  </si>
  <si>
    <t xml:space="preserve">Закупка и ввоз</t>
  </si>
  <si>
    <t xml:space="preserve">Комиссия байера</t>
  </si>
  <si>
    <t xml:space="preserve">% от закупки</t>
  </si>
  <si>
    <t xml:space="preserve">Допущение. Обычная ставка байера — несколько процентов от суммы заказа.</t>
  </si>
  <si>
    <t xml:space="preserve">Банк и конвертация при оплате в Китай</t>
  </si>
  <si>
    <t xml:space="preserve">% от закупки и упаковки</t>
  </si>
  <si>
    <t xml:space="preserve">В бизнес-плане 0%. Обычно банк или платёжный агент берёт 2–4% (спред + SWIFT). Поставьте фактический процент после первой оплаты.</t>
  </si>
  <si>
    <t xml:space="preserve">Упаковка: пыльник, коробка, карточка</t>
  </si>
  <si>
    <t xml:space="preserve">¥ за сумку</t>
  </si>
  <si>
    <t xml:space="preserve">Допущение: упаковку заказываем у той же фабрики.</t>
  </si>
  <si>
    <t xml:space="preserve">Доставка Китай → Ташкент</t>
  </si>
  <si>
    <t xml:space="preserve">$ за сумку</t>
  </si>
  <si>
    <t xml:space="preserve">Допущение: около 1 кг с упаковкой, автодоставка с документами («белый» ввоз).</t>
  </si>
  <si>
    <t xml:space="preserve">Таможенная пошлина</t>
  </si>
  <si>
    <t xml:space="preserve">% от тамож. стоимости</t>
  </si>
  <si>
    <t xml:space="preserve">Рабочее допущение. В 2018 году на дамские сумки (код 4202) было 15%, но не менее $1,5 за шт., обсуждалось повышение до 20% (norma.uz). Актуальную ставку подтвердит брокер.</t>
  </si>
  <si>
    <t xml:space="preserve">Минимальная пошлина</t>
  </si>
  <si>
    <t xml:space="preserve">Из той же нормы 2018 года (norma.uz). Если пошлина по проценту меньше — берётся минимум.</t>
  </si>
  <si>
    <t xml:space="preserve">НДС при ввозе</t>
  </si>
  <si>
    <t xml:space="preserve">%</t>
  </si>
  <si>
    <t xml:space="preserve">12% от таможенной стоимости с пошлиной (uz2b.uz). ИП на налоге с оборота его не возвращает.</t>
  </si>
  <si>
    <t xml:space="preserve">Брокер, документы, сертификация</t>
  </si>
  <si>
    <t xml:space="preserve">сум за сумку</t>
  </si>
  <si>
    <t xml:space="preserve">Допущение: расходы на оформление партии, разделённые на число сумок в ней.</t>
  </si>
  <si>
    <t xml:space="preserve">Брак и непродаваемый товар</t>
  </si>
  <si>
    <t xml:space="preserve">% партии</t>
  </si>
  <si>
    <t xml:space="preserve">В бизнес-плане 0%. Обычно 1–3%; снижается проверкой у байера перед отгрузкой. Брак повышает себестоимость проданных сумок.</t>
  </si>
  <si>
    <t xml:space="preserve">Продажа</t>
  </si>
  <si>
    <t xml:space="preserve">Канал продаж</t>
  </si>
  <si>
    <t xml:space="preserve">Свой магазин</t>
  </si>
  <si>
    <t xml:space="preserve">выбор из списка</t>
  </si>
  <si>
    <t xml:space="preserve">«Свой магазин» — Telegram и Instagram с курьером. «Uzum Market» — комиссия, логистика и продвижение маркетплейса вместо курьера, эквайринга и своей рекламы.</t>
  </si>
  <si>
    <t xml:space="preserve">Средняя скидка от цены</t>
  </si>
  <si>
    <t xml:space="preserve">% от цены</t>
  </si>
  <si>
    <t xml:space="preserve">0% — продаём без скидок. Поставьте, например, 15%, чтобы увидеть эффект акций.</t>
  </si>
  <si>
    <t xml:space="preserve">Доставка клиентке по Ташкенту</t>
  </si>
  <si>
    <t xml:space="preserve">сум за заказ</t>
  </si>
  <si>
    <t xml:space="preserve">Допущение: курьер, бесплатно для клиентки. Для Uzum вместо неё берётся логистика Uzum.</t>
  </si>
  <si>
    <t xml:space="preserve">Доля отказов при осмотре</t>
  </si>
  <si>
    <t xml:space="preserve">% от выкупленных заказов</t>
  </si>
  <si>
    <t xml:space="preserve">Допущение. Отказ у двери = лишняя поездка курьера; сумка возвращается на склад.</t>
  </si>
  <si>
    <t xml:space="preserve">Возвраты после покупки</t>
  </si>
  <si>
    <t xml:space="preserve">В бизнес-плане 0%. Возврат = две поездки курьера, сумка возвращается на склад. Поставьте свою оценку, например 2–3%.</t>
  </si>
  <si>
    <t xml:space="preserve">Налог с оборота (ИП)</t>
  </si>
  <si>
    <t xml:space="preserve">% от выручки</t>
  </si>
  <si>
    <t xml:space="preserve">1% для ИП с оборотом до 1 млрд сум в год (buxgalter.uz, НК-2026). В том же обзоре для электронной торговли указана ставка 4% — до запуска уточните у бухгалтера, какая применяется к продажам через Telegram и Instagram. При 4% точка безубыточности — около 148 заказов в месяц.</t>
  </si>
  <si>
    <t xml:space="preserve">Комиссия за оплату (Click, Payme)</t>
  </si>
  <si>
    <t xml:space="preserve">Допущение. Для Uzum не применяется: оплата проходит внутри маркетплейса.</t>
  </si>
  <si>
    <t xml:space="preserve">Реклама на один выкупленный заказ (CAC)</t>
  </si>
  <si>
    <t xml:space="preserve">Допущение: таргет, блогеры, посевы в Telegram. Рекламный бюджет / число выкупленных заказов (без отказов). Если делите на все заявки — разделите результат на (1 − доля отказов).</t>
  </si>
  <si>
    <t xml:space="preserve">Комиссия Uzum Market</t>
  </si>
  <si>
    <t xml:space="preserve">Допущение. Uzum берёт 3–35% в зависимости от категории (billz.io). Уточните в кабинете продавца.</t>
  </si>
  <si>
    <t xml:space="preserve">Логистика Uzum</t>
  </si>
  <si>
    <t xml:space="preserve">Около 8 000 сум за единицу (billz.io); зависит от размера товара.</t>
  </si>
  <si>
    <t xml:space="preserve">Продвижение внутри Uzum</t>
  </si>
  <si>
    <t xml:space="preserve">Допущение: реклама в кабинете Uzum вместо своего таргета и блогеров. Уточните по первым неделям.</t>
  </si>
  <si>
    <t xml:space="preserve">Постоянные расходы в месяц (полная загрузка)</t>
  </si>
  <si>
    <t xml:space="preserve">Контент: видеограф, героини, реквизит</t>
  </si>
  <si>
    <t xml:space="preserve">сум в месяц</t>
  </si>
  <si>
    <t xml:space="preserve">Съёмки фильмов без слов, ASMR, фото.</t>
  </si>
  <si>
    <t xml:space="preserve">Менеджер заказов</t>
  </si>
  <si>
    <t xml:space="preserve">Telegram, подтверждение заказов, курьеры. При продаже только через Uzum может быть не нужен.</t>
  </si>
  <si>
    <t xml:space="preserve">Хранение товара</t>
  </si>
  <si>
    <t xml:space="preserve">Склад или кладовая.</t>
  </si>
  <si>
    <t xml:space="preserve">Сервисы: бот, сайт, учёт</t>
  </si>
  <si>
    <t xml:space="preserve">Бухгалтер на аутсорсе</t>
  </si>
  <si>
    <t xml:space="preserve">Соцналог ИП и налоги с зарплаты менеджера</t>
  </si>
  <si>
    <t xml:space="preserve">В бизнес-плане 0. ИП платит соцналог за себя (не меньше 1 БРВ в месяц), за оформленного менеджера — НДФЛ и соцналог. Сумму уточните у бухгалтера; ориентир — около 1,1 млн сум.</t>
  </si>
  <si>
    <t xml:space="preserve">Прочее</t>
  </si>
  <si>
    <t xml:space="preserve">Связь, расходники, мелочи.</t>
  </si>
  <si>
    <t xml:space="preserve">Итого постоянные расходы</t>
  </si>
  <si>
    <t xml:space="preserve">Зарплаты основателей не включены.</t>
  </si>
  <si>
    <t xml:space="preserve">Юнит-экономика: сколько остаётся с одной сумки</t>
  </si>
  <si>
    <t xml:space="preserve">Суммы в сумах на одну сумку (один выкупленный заказ). Синие ячейки — ввод, чёрные — формулы, зелёные — ссылки на другие листы.</t>
  </si>
  <si>
    <t xml:space="preserve">Показатель</t>
  </si>
  <si>
    <t xml:space="preserve">Ед.</t>
  </si>
  <si>
    <t xml:space="preserve">Выход и той</t>
  </si>
  <si>
    <t xml:space="preserve">Каждый день</t>
  </si>
  <si>
    <t xml:space="preserve">Спорт</t>
  </si>
  <si>
    <t xml:space="preserve">Мама</t>
  </si>
  <si>
    <t xml:space="preserve">Работа</t>
  </si>
  <si>
    <t xml:space="preserve">Средняя по долям</t>
  </si>
  <si>
    <t xml:space="preserve">Как считается</t>
  </si>
  <si>
    <t xml:space="preserve">Вводные по модели</t>
  </si>
  <si>
    <t xml:space="preserve">Закупка на фабрике</t>
  </si>
  <si>
    <t xml:space="preserve">¥</t>
  </si>
  <si>
    <t xml:space="preserve">Цена фабрики за 1 шт. без доставки. Цифры — из бизнес-плана.</t>
  </si>
  <si>
    <t xml:space="preserve">Розничная цена</t>
  </si>
  <si>
    <t xml:space="preserve">сум</t>
  </si>
  <si>
    <t xml:space="preserve">Цена на витрине до скидки.</t>
  </si>
  <si>
    <t xml:space="preserve">Доля в продажах</t>
  </si>
  <si>
    <t xml:space="preserve">Себестоимость в Ташкенте</t>
  </si>
  <si>
    <t xml:space="preserve">Закупка</t>
  </si>
  <si>
    <t xml:space="preserve">¥ × курс юаня</t>
  </si>
  <si>
    <t xml:space="preserve">Байер и оплата в Китай</t>
  </si>
  <si>
    <t xml:space="preserve">закупка × комиссия байера + (закупка + упаковка) × расходы на перевод</t>
  </si>
  <si>
    <t xml:space="preserve">¥ упаковки × курс юаня</t>
  </si>
  <si>
    <t xml:space="preserve">$ за сумку × курс доллара</t>
  </si>
  <si>
    <t xml:space="preserve">Таможенная стоимость (база для пошлины)</t>
  </si>
  <si>
    <t xml:space="preserve">справочно: закупка + упаковка + доставка; в итог не входит</t>
  </si>
  <si>
    <t xml:space="preserve">Пошлина</t>
  </si>
  <si>
    <t xml:space="preserve">большее из: тамож. стоимость × ставка или минимум $ за шт.</t>
  </si>
  <si>
    <t xml:space="preserve">(тамож. стоимость + пошлина) × НДС</t>
  </si>
  <si>
    <t xml:space="preserve">из «Допущений»</t>
  </si>
  <si>
    <t xml:space="preserve">Себестоимость сумки в Ташкенте</t>
  </si>
  <si>
    <t xml:space="preserve">сумма строк выше, кроме справочной; с учётом брака: делим на (1 − доля брака)</t>
  </si>
  <si>
    <t xml:space="preserve">Продажа одного заказа</t>
  </si>
  <si>
    <t xml:space="preserve">Цена после скидки</t>
  </si>
  <si>
    <t xml:space="preserve">розничная цена × (1 − скидка)</t>
  </si>
  <si>
    <t xml:space="preserve">Доставка клиентке</t>
  </si>
  <si>
    <t xml:space="preserve">свой магазин — курьер; Uzum — логистика маркетплейса</t>
  </si>
  <si>
    <t xml:space="preserve">Отказы и возвраты</t>
  </si>
  <si>
    <t xml:space="preserve">лишние поездки курьера: отказ у двери — одна, возврат после покупки — две</t>
  </si>
  <si>
    <t xml:space="preserve">Налог с оборота</t>
  </si>
  <si>
    <t xml:space="preserve">цена после скидки × ставка</t>
  </si>
  <si>
    <t xml:space="preserve">Комиссия за оплату</t>
  </si>
  <si>
    <t xml:space="preserve">Click, Payme; на Uzum — 0</t>
  </si>
  <si>
    <t xml:space="preserve">Комиссия маркетплейса</t>
  </si>
  <si>
    <t xml:space="preserve">только для Uzum Market</t>
  </si>
  <si>
    <t xml:space="preserve">Реклама на один заказ</t>
  </si>
  <si>
    <t xml:space="preserve">свой магазин — CAC из «Допущений»; Uzum — % продвижения внутри Uzum</t>
  </si>
  <si>
    <t xml:space="preserve">Расходы на продажу</t>
  </si>
  <si>
    <t xml:space="preserve">сумма строк выше</t>
  </si>
  <si>
    <t xml:space="preserve">Результат</t>
  </si>
  <si>
    <t xml:space="preserve">Остаётся с заказа</t>
  </si>
  <si>
    <t xml:space="preserve">цена после скидки − себестоимость − расходы на продажу; до постоянных расходов</t>
  </si>
  <si>
    <t xml:space="preserve">Остаётся с заказа, % от цены</t>
  </si>
  <si>
    <t xml:space="preserve">остаётся с заказа / цена после скидки</t>
  </si>
  <si>
    <t xml:space="preserve">Цена ÷ себестоимость (во сколько раз)</t>
  </si>
  <si>
    <t xml:space="preserve">раз</t>
  </si>
  <si>
    <t xml:space="preserve">в моде обычно нужна цена не меньше двух себестоимостей, чтобы покрыть продажу и рекламу</t>
  </si>
  <si>
    <t xml:space="preserve">Предельная реклама на заказ</t>
  </si>
  <si>
    <t xml:space="preserve">при такой рекламе на заказ модель выходит в ноль</t>
  </si>
  <si>
    <t xml:space="preserve">Минимальная розничная цена</t>
  </si>
  <si>
    <t xml:space="preserve">цена до скидки, при которой с заказа остаётся 0 (без постоянных расходов)</t>
  </si>
  <si>
    <t xml:space="preserve">Безубыточность (по колонке «Средняя по долям»)</t>
  </si>
  <si>
    <t xml:space="preserve">Постоянные расходы в месяц</t>
  </si>
  <si>
    <t xml:space="preserve">Точка безубыточности</t>
  </si>
  <si>
    <t xml:space="preserve">заказов в мес.</t>
  </si>
  <si>
    <t xml:space="preserve">постоянные расходы / «Остаётся с заказа» (колонка «Средняя по долям»). Чтобы выйти в плюс, нужен следующий целый заказ.</t>
  </si>
  <si>
    <t xml:space="preserve">То же в день</t>
  </si>
  <si>
    <t xml:space="preserve">заказов в день</t>
  </si>
  <si>
    <t xml:space="preserve">при 30 днях в месяце</t>
  </si>
  <si>
    <t xml:space="preserve">Предел для налога с оборота 1%</t>
  </si>
  <si>
    <t xml:space="preserve">выше — оборот больше 1 млрд сум в год: вместо налога 1% — НДС 12% и налог на прибыль, с заказа остаётся меньше</t>
  </si>
  <si>
    <t xml:space="preserve">Прогноз на 12 месяцев: заказы → прибыль → деньги</t>
  </si>
  <si>
    <t xml:space="preserve">Вводите выкупленные заказы по месяцам и долю постоянных расходов (жёлтые ячейки). Постоянные расходы берутся из «Допущений»; цена, себестоимость и расходы на заказ — из колонки «Средняя по долям» листа «Юнит-экономика».</t>
  </si>
  <si>
    <t xml:space="preserve">янв 2027</t>
  </si>
  <si>
    <t xml:space="preserve">фев 2027</t>
  </si>
  <si>
    <t xml:space="preserve">мар 2027</t>
  </si>
  <si>
    <t xml:space="preserve">апр 2027</t>
  </si>
  <si>
    <t xml:space="preserve">май 2027</t>
  </si>
  <si>
    <t xml:space="preserve">июн 2027</t>
  </si>
  <si>
    <t xml:space="preserve">июл 2027</t>
  </si>
  <si>
    <t xml:space="preserve">авг 2027</t>
  </si>
  <si>
    <t xml:space="preserve">сен 2027</t>
  </si>
  <si>
    <t xml:space="preserve">окт 2027</t>
  </si>
  <si>
    <t xml:space="preserve">ноя 2027</t>
  </si>
  <si>
    <t xml:space="preserve">дек 2027</t>
  </si>
  <si>
    <t xml:space="preserve">Итого за год</t>
  </si>
  <si>
    <t xml:space="preserve">Выкупленных заказов в месяц</t>
  </si>
  <si>
    <t xml:space="preserve">Постоянные расходы, сум</t>
  </si>
  <si>
    <t xml:space="preserve">Доля от полной загрузки (постоянных расходов)</t>
  </si>
  <si>
    <t xml:space="preserve">Выручка, сум</t>
  </si>
  <si>
    <t xml:space="preserve">Себестоимость проданных сумок, сум</t>
  </si>
  <si>
    <t xml:space="preserve">Расходы на продажу (доставка, налог, реклама…), сум</t>
  </si>
  <si>
    <t xml:space="preserve">Остаётся с заказов, сум</t>
  </si>
  <si>
    <t xml:space="preserve">Операционная прибыль, сум</t>
  </si>
  <si>
    <t xml:space="preserve">Накопленная операционная прибыль, сум</t>
  </si>
  <si>
    <t xml:space="preserve">Выручка с начала года, сум</t>
  </si>
  <si>
    <t xml:space="preserve">Месяцев с прибылью</t>
  </si>
  <si>
    <t xml:space="preserve">Налог с оборота 1%: порог 1 млрд сум в год</t>
  </si>
  <si>
    <t xml:space="preserve">Стартовые вложения (до запуска)</t>
  </si>
  <si>
    <t xml:space="preserve">Образцы: около 15 шт. с экспресс-доставкой</t>
  </si>
  <si>
    <t xml:space="preserve">Бренд: имя, логотип, дизайн упаковки</t>
  </si>
  <si>
    <t xml:space="preserve">Регистрация ИП, брокер, резерв на сертификацию</t>
  </si>
  <si>
    <t xml:space="preserve">Telegram-бот и сайт-каталог</t>
  </si>
  <si>
    <t xml:space="preserve">Запускная съёмка пяти сценариев</t>
  </si>
  <si>
    <t xml:space="preserve">Реклама и блогеры до запуска</t>
  </si>
  <si>
    <t xml:space="preserve">Вложения без товара</t>
  </si>
  <si>
    <t xml:space="preserve">Первая партия, шт.</t>
  </si>
  <si>
    <t xml:space="preserve">Первая партия, сум</t>
  </si>
  <si>
    <t xml:space="preserve">шт. × средняя себестоимость</t>
  </si>
  <si>
    <t xml:space="preserve">Всего до запуска</t>
  </si>
  <si>
    <t xml:space="preserve">Накопленная прибыль минус вложения без товара, сум</t>
  </si>
  <si>
    <t xml:space="preserve">служебная строка: месяц, после которого результат не уходит в минус</t>
  </si>
  <si>
    <t xml:space="preserve">Окупаемость вложений без товара</t>
  </si>
  <si>
    <t xml:space="preserve">Товар на складе здесь не считается расходом. Но деньги в нём заморожены — сколько денег нужно на самом деле, смотрите ниже.</t>
  </si>
  <si>
    <t xml:space="preserve">Деньги с учётом закупок товара</t>
  </si>
  <si>
    <t xml:space="preserve">Запас на начало месяца, в месяцах продаж</t>
  </si>
  <si>
    <t xml:space="preserve">1,3 — как в бизнес-плане. Товар оплачиваем за месяц до продажи; путь из Китая около 12 недель, поэтому для надёжности ставьте 2 и больше.</t>
  </si>
  <si>
    <t xml:space="preserve">Закупка, шт.</t>
  </si>
  <si>
    <t xml:space="preserve">Остаток на складе на конец месяца, шт.</t>
  </si>
  <si>
    <t xml:space="preserve">Оплата товара, сум</t>
  </si>
  <si>
    <t xml:space="preserve">Денежный поток месяца, сум</t>
  </si>
  <si>
    <t xml:space="preserve">Деньги нарастающим итогом, с вложениями до запуска, сум</t>
  </si>
  <si>
    <t xml:space="preserve">Сколько денег нужно: самый глубокий минус</t>
  </si>
  <si>
    <t xml:space="preserve">То же с резервом 10%</t>
  </si>
  <si>
    <t xml:space="preserve">Товар на складе на конец декабря, сум</t>
  </si>
  <si>
    <t xml:space="preserve">эти деньги вернутся с продажами следующего года</t>
  </si>
  <si>
    <t xml:space="preserve">Точка безубыточности: заказов в месяц</t>
  </si>
  <si>
    <t xml:space="preserve">Сколько заказов в месяц нужно, если сдвинуть цену (столбцы) и стоимость рекламы на заказ (строки). Постоянные расходы — из «Допущений».</t>
  </si>
  <si>
    <t xml:space="preserve">Средняя цена после скидки</t>
  </si>
  <si>
    <t xml:space="preserve">Средняя себестоимость в Ташкенте</t>
  </si>
  <si>
    <t xml:space="preserve">Доставка, отказы и возвраты на заказ</t>
  </si>
  <si>
    <t xml:space="preserve">Налоги и комиссии, % от цены</t>
  </si>
  <si>
    <t xml:space="preserve">Реклама на заказ, сум ↓ / цена →</t>
  </si>
  <si>
    <t xml:space="preserve">Ячейка в жирной рамке (цена 0%, реклама из «Юнит-экономики») — базовый расчёт. Зелёное — нужно меньше заказов, красное — больше.</t>
  </si>
  <si>
    <t xml:space="preserve">Сдвиги цены в строке 10 можно менять. Шкала рекламы строится вокруг текущей рекламы с шагом 10 000 сум.</t>
  </si>
  <si>
    <t xml:space="preserve">Серым курсивом — оборот выше 1 млрд сум в год: налог 1% уже не действует, реальная точка безубыточности выше.</t>
  </si>
  <si>
    <t xml:space="preserve">Для Uzum Market реклама в шкале — в сумах на заказ при текущей цене.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</si>
</sst>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;\(#,##0\);\–"/>
    <numFmt numFmtId="166" formatCode="0.0%"/>
    <numFmt numFmtId="167" formatCode="#,##0.0;\(#,##0.0\);\–"/>
    <numFmt numFmtId="168" formatCode="#,##0.00;\(#,##0.00\);\–"/>
    <numFmt numFmtId="169" formatCode="0.0%;\(0.0%\);\–"/>
    <numFmt numFmtId="170" formatCode="0.00"/>
    <numFmt numFmtId="171" formatCode="#,##0.0"/>
    <numFmt numFmtId="172" formatCode="0%"/>
    <numFmt numFmtId="173" formatCode="0.0"/>
    <numFmt numFmtId="174" formatCode="\+0%;\-0%;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i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b val="true"/>
      <sz val="10"/>
      <color rgb="FFC00000"/>
      <name val="Arial"/>
      <family val="0"/>
      <charset val="1"/>
    </font>
    <font>
      <i val="true"/>
      <sz val="8"/>
      <color rgb="FFA6A6A6"/>
      <name val="Arial"/>
      <family val="0"/>
      <charset val="1"/>
    </font>
    <font>
      <sz val="8"/>
      <color rgb="FFA6A6A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E7E6E6"/>
      </patternFill>
    </fill>
    <fill>
      <patternFill patternType="solid">
        <fgColor rgb="FFE7E6E6"/>
        <bgColor rgb="FFDDEBF7"/>
      </patternFill>
    </fill>
    <fill>
      <patternFill patternType="solid">
        <fgColor rgb="FFDDEBF7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color rgb="FFC00000"/>
      </font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</font>
      <border diagonalUp="false" diagonalDown="false">
        <left style="medium"/>
        <right style="medium"/>
        <top style="medium"/>
        <bottom style="medium"/>
        <diagonal/>
      </border>
    </dxf>
    <dxf>
      <font>
        <name val="Arial"/>
        <charset val="1"/>
        <family val="0"/>
        <i val="1"/>
        <color rgb="FF7F7F7F"/>
      </font>
    </dxf>
  </dxfs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4472C4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25.5" hidden="false" customHeight="true" outlineLevel="0" collapsed="false">
      <c r="B5" s="4" t="s">
        <v>3</v>
      </c>
    </row>
    <row r="6" customFormat="false" ht="25.5" hidden="false" customHeight="true" outlineLevel="0" collapsed="false">
      <c r="B6" s="4" t="s">
        <v>4</v>
      </c>
    </row>
    <row r="7" customFormat="false" ht="25.5" hidden="false" customHeight="tru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/>
    </row>
    <row r="10" customFormat="false" ht="15" hidden="false" customHeight="false" outlineLevel="0" collapsed="false">
      <c r="B10" s="3" t="s">
        <v>7</v>
      </c>
    </row>
    <row r="11" customFormat="false" ht="25.5" hidden="false" customHeight="true" outlineLevel="0" collapsed="false">
      <c r="B11" s="4" t="s">
        <v>8</v>
      </c>
    </row>
    <row r="12" customFormat="false" ht="25.5" hidden="false" customHeight="tru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/>
    </row>
    <row r="15" customFormat="false" ht="15" hidden="false" customHeight="false" outlineLevel="0" collapsed="false">
      <c r="B15" s="3" t="s">
        <v>11</v>
      </c>
    </row>
    <row r="16" customFormat="false" ht="25.5" hidden="false" customHeight="true" outlineLevel="0" collapsed="false">
      <c r="A16" s="5"/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/>
    </row>
    <row r="20" customFormat="false" ht="15" hidden="false" customHeight="false" outlineLevel="0" collapsed="false">
      <c r="B20" s="3" t="s">
        <v>15</v>
      </c>
    </row>
    <row r="21" customFormat="false" ht="15" hidden="false" customHeight="false" outlineLevel="0" collapsed="false">
      <c r="B21" s="4" t="s">
        <v>16</v>
      </c>
    </row>
    <row r="22" customFormat="false" ht="15" hidden="false" customHeight="false" outlineLevel="0" collapsed="false">
      <c r="B22" s="4" t="s">
        <v>17</v>
      </c>
    </row>
    <row r="23" customFormat="false" ht="15" hidden="false" customHeight="false" outlineLevel="0" collapsed="false">
      <c r="B23" s="4" t="s">
        <v>18</v>
      </c>
    </row>
    <row r="24" customFormat="false" ht="15" hidden="false" customHeight="false" outlineLevel="0" collapsed="false">
      <c r="B24" s="4" t="s">
        <v>19</v>
      </c>
    </row>
    <row r="25" customFormat="false" ht="25.5" hidden="false" customHeight="true" outlineLevel="0" collapsed="false">
      <c r="B25" s="4" t="s">
        <v>20</v>
      </c>
    </row>
    <row r="26" customFormat="false" ht="15" hidden="false" customHeight="false" outlineLevel="0" collapsed="false">
      <c r="B26" s="4" t="s">
        <v>21</v>
      </c>
    </row>
    <row r="27" customFormat="false" ht="15" hidden="false" customHeight="false" outlineLevel="0" collapsed="false">
      <c r="B27" s="4"/>
    </row>
    <row r="28" customFormat="false" ht="15" hidden="false" customHeight="false" outlineLevel="0" collapsed="false">
      <c r="B28" s="3" t="s">
        <v>22</v>
      </c>
    </row>
    <row r="29" customFormat="false" ht="15" hidden="false" customHeight="false" outlineLevel="0" collapsed="false">
      <c r="B29" s="4" t="s">
        <v>23</v>
      </c>
    </row>
    <row r="30" customFormat="false" ht="15" hidden="false" customHeight="false" outlineLevel="0" collapsed="false">
      <c r="B30" s="4" t="s">
        <v>24</v>
      </c>
    </row>
    <row r="31" customFormat="false" ht="15" hidden="false" customHeight="false" outlineLevel="0" collapsed="false">
      <c r="B31" s="4" t="s">
        <v>25</v>
      </c>
    </row>
    <row r="32" customFormat="false" ht="15" hidden="false" customHeight="false" outlineLevel="0" collapsed="false">
      <c r="B32" s="4" t="s">
        <v>26</v>
      </c>
    </row>
    <row r="33" customFormat="false" ht="15" hidden="false" customHeight="false" outlineLevel="0" collapsed="false">
      <c r="B33" s="4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D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84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29</v>
      </c>
    </row>
    <row r="4" customFormat="false" ht="15" hidden="false" customHeight="false" outlineLevel="0" collapsed="false">
      <c r="A4" s="6" t="s">
        <v>30</v>
      </c>
      <c r="B4" s="6" t="s">
        <v>31</v>
      </c>
      <c r="C4" s="6" t="s">
        <v>32</v>
      </c>
      <c r="D4" s="6" t="s">
        <v>33</v>
      </c>
    </row>
    <row r="5" customFormat="false" ht="15" hidden="false" customHeight="false" outlineLevel="0" collapsed="false">
      <c r="A5" s="7" t="s">
        <v>34</v>
      </c>
      <c r="B5" s="8"/>
      <c r="C5" s="8"/>
      <c r="D5" s="8"/>
    </row>
    <row r="6" customFormat="false" ht="15" hidden="false" customHeight="false" outlineLevel="0" collapsed="false">
      <c r="A6" s="9" t="s">
        <v>35</v>
      </c>
      <c r="B6" s="10" t="n">
        <v>11800</v>
      </c>
      <c r="C6" s="11" t="s">
        <v>36</v>
      </c>
      <c r="D6" s="11" t="s">
        <v>37</v>
      </c>
    </row>
    <row r="7" customFormat="false" ht="15" hidden="false" customHeight="false" outlineLevel="0" collapsed="false">
      <c r="A7" s="9" t="s">
        <v>38</v>
      </c>
      <c r="B7" s="10" t="n">
        <v>1650</v>
      </c>
      <c r="C7" s="11" t="s">
        <v>39</v>
      </c>
      <c r="D7" s="11" t="s">
        <v>40</v>
      </c>
    </row>
    <row r="9" customFormat="false" ht="15" hidden="false" customHeight="false" outlineLevel="0" collapsed="false">
      <c r="A9" s="7" t="s">
        <v>41</v>
      </c>
      <c r="B9" s="8"/>
      <c r="C9" s="8"/>
      <c r="D9" s="8"/>
    </row>
    <row r="10" customFormat="false" ht="15" hidden="false" customHeight="false" outlineLevel="0" collapsed="false">
      <c r="A10" s="9" t="s">
        <v>42</v>
      </c>
      <c r="B10" s="12" t="n">
        <v>0.05</v>
      </c>
      <c r="C10" s="11" t="s">
        <v>43</v>
      </c>
      <c r="D10" s="11" t="s">
        <v>44</v>
      </c>
    </row>
    <row r="11" customFormat="false" ht="25.5" hidden="false" customHeight="true" outlineLevel="0" collapsed="false">
      <c r="A11" s="9" t="s">
        <v>45</v>
      </c>
      <c r="B11" s="12" t="n">
        <v>0</v>
      </c>
      <c r="C11" s="11" t="s">
        <v>46</v>
      </c>
      <c r="D11" s="11" t="s">
        <v>47</v>
      </c>
    </row>
    <row r="12" customFormat="false" ht="15" hidden="false" customHeight="false" outlineLevel="0" collapsed="false">
      <c r="A12" s="9" t="s">
        <v>48</v>
      </c>
      <c r="B12" s="13" t="n">
        <v>14</v>
      </c>
      <c r="C12" s="11" t="s">
        <v>49</v>
      </c>
      <c r="D12" s="11" t="s">
        <v>50</v>
      </c>
    </row>
    <row r="13" customFormat="false" ht="15" hidden="false" customHeight="false" outlineLevel="0" collapsed="false">
      <c r="A13" s="9" t="s">
        <v>51</v>
      </c>
      <c r="B13" s="14" t="n">
        <v>3.4</v>
      </c>
      <c r="C13" s="11" t="s">
        <v>52</v>
      </c>
      <c r="D13" s="11" t="s">
        <v>53</v>
      </c>
    </row>
    <row r="14" customFormat="false" ht="39" hidden="false" customHeight="true" outlineLevel="0" collapsed="false">
      <c r="A14" s="9" t="s">
        <v>54</v>
      </c>
      <c r="B14" s="12" t="n">
        <v>0.2</v>
      </c>
      <c r="C14" s="11" t="s">
        <v>55</v>
      </c>
      <c r="D14" s="11" t="s">
        <v>56</v>
      </c>
    </row>
    <row r="15" customFormat="false" ht="15" hidden="false" customHeight="false" outlineLevel="0" collapsed="false">
      <c r="A15" s="9" t="s">
        <v>57</v>
      </c>
      <c r="B15" s="14" t="n">
        <v>1.5</v>
      </c>
      <c r="C15" s="11" t="s">
        <v>52</v>
      </c>
      <c r="D15" s="11" t="s">
        <v>58</v>
      </c>
    </row>
    <row r="16" customFormat="false" ht="15" hidden="false" customHeight="false" outlineLevel="0" collapsed="false">
      <c r="A16" s="9" t="s">
        <v>59</v>
      </c>
      <c r="B16" s="12" t="n">
        <v>0.12</v>
      </c>
      <c r="C16" s="11" t="s">
        <v>60</v>
      </c>
      <c r="D16" s="11" t="s">
        <v>61</v>
      </c>
    </row>
    <row r="17" customFormat="false" ht="15" hidden="false" customHeight="false" outlineLevel="0" collapsed="false">
      <c r="A17" s="9" t="s">
        <v>62</v>
      </c>
      <c r="B17" s="10" t="n">
        <v>10000</v>
      </c>
      <c r="C17" s="11" t="s">
        <v>63</v>
      </c>
      <c r="D17" s="11" t="s">
        <v>64</v>
      </c>
    </row>
    <row r="18" customFormat="false" ht="25.5" hidden="false" customHeight="true" outlineLevel="0" collapsed="false">
      <c r="A18" s="9" t="s">
        <v>65</v>
      </c>
      <c r="B18" s="12" t="n">
        <v>0</v>
      </c>
      <c r="C18" s="11" t="s">
        <v>66</v>
      </c>
      <c r="D18" s="11" t="s">
        <v>67</v>
      </c>
    </row>
    <row r="20" customFormat="false" ht="15" hidden="false" customHeight="false" outlineLevel="0" collapsed="false">
      <c r="A20" s="7" t="s">
        <v>68</v>
      </c>
      <c r="B20" s="8"/>
      <c r="C20" s="8"/>
      <c r="D20" s="8"/>
    </row>
    <row r="21" customFormat="false" ht="25.5" hidden="false" customHeight="true" outlineLevel="0" collapsed="false">
      <c r="A21" s="9" t="s">
        <v>69</v>
      </c>
      <c r="B21" s="15" t="s">
        <v>70</v>
      </c>
      <c r="C21" s="16" t="s">
        <v>71</v>
      </c>
      <c r="D21" s="11" t="s">
        <v>72</v>
      </c>
    </row>
    <row r="22" customFormat="false" ht="15" hidden="false" customHeight="false" outlineLevel="0" collapsed="false">
      <c r="A22" s="9" t="s">
        <v>73</v>
      </c>
      <c r="B22" s="12" t="n">
        <v>0</v>
      </c>
      <c r="C22" s="11" t="s">
        <v>74</v>
      </c>
      <c r="D22" s="11" t="s">
        <v>75</v>
      </c>
    </row>
    <row r="23" customFormat="false" ht="15" hidden="false" customHeight="false" outlineLevel="0" collapsed="false">
      <c r="A23" s="9" t="s">
        <v>76</v>
      </c>
      <c r="B23" s="10" t="n">
        <v>30000</v>
      </c>
      <c r="C23" s="11" t="s">
        <v>77</v>
      </c>
      <c r="D23" s="11" t="s">
        <v>78</v>
      </c>
    </row>
    <row r="24" customFormat="false" ht="15" hidden="false" customHeight="false" outlineLevel="0" collapsed="false">
      <c r="A24" s="9" t="s">
        <v>79</v>
      </c>
      <c r="B24" s="12" t="n">
        <v>0.08</v>
      </c>
      <c r="C24" s="11" t="s">
        <v>80</v>
      </c>
      <c r="D24" s="11" t="s">
        <v>81</v>
      </c>
    </row>
    <row r="25" customFormat="false" ht="25.5" hidden="false" customHeight="true" outlineLevel="0" collapsed="false">
      <c r="A25" s="9" t="s">
        <v>82</v>
      </c>
      <c r="B25" s="12" t="n">
        <v>0</v>
      </c>
      <c r="C25" s="11" t="s">
        <v>80</v>
      </c>
      <c r="D25" s="11" t="s">
        <v>83</v>
      </c>
    </row>
    <row r="26" customFormat="false" ht="51.75" hidden="false" customHeight="true" outlineLevel="0" collapsed="false">
      <c r="A26" s="9" t="s">
        <v>84</v>
      </c>
      <c r="B26" s="12" t="n">
        <v>0.01</v>
      </c>
      <c r="C26" s="11" t="s">
        <v>85</v>
      </c>
      <c r="D26" s="11" t="s">
        <v>86</v>
      </c>
    </row>
    <row r="27" customFormat="false" ht="15" hidden="false" customHeight="false" outlineLevel="0" collapsed="false">
      <c r="A27" s="9" t="s">
        <v>87</v>
      </c>
      <c r="B27" s="12" t="n">
        <v>0.01</v>
      </c>
      <c r="C27" s="11" t="s">
        <v>85</v>
      </c>
      <c r="D27" s="11" t="s">
        <v>88</v>
      </c>
    </row>
    <row r="28" customFormat="false" ht="39" hidden="false" customHeight="true" outlineLevel="0" collapsed="false">
      <c r="A28" s="9" t="s">
        <v>89</v>
      </c>
      <c r="B28" s="10" t="n">
        <v>70000</v>
      </c>
      <c r="C28" s="11" t="s">
        <v>77</v>
      </c>
      <c r="D28" s="11" t="s">
        <v>90</v>
      </c>
    </row>
    <row r="29" customFormat="false" ht="15" hidden="false" customHeight="false" outlineLevel="0" collapsed="false">
      <c r="A29" s="9" t="s">
        <v>91</v>
      </c>
      <c r="B29" s="12" t="n">
        <v>0.2</v>
      </c>
      <c r="C29" s="11" t="s">
        <v>74</v>
      </c>
      <c r="D29" s="11" t="s">
        <v>92</v>
      </c>
    </row>
    <row r="30" customFormat="false" ht="15" hidden="false" customHeight="false" outlineLevel="0" collapsed="false">
      <c r="A30" s="9" t="s">
        <v>93</v>
      </c>
      <c r="B30" s="10" t="n">
        <v>8000</v>
      </c>
      <c r="C30" s="11" t="s">
        <v>77</v>
      </c>
      <c r="D30" s="11" t="s">
        <v>94</v>
      </c>
    </row>
    <row r="31" customFormat="false" ht="15" hidden="false" customHeight="false" outlineLevel="0" collapsed="false">
      <c r="A31" s="9" t="s">
        <v>95</v>
      </c>
      <c r="B31" s="12" t="n">
        <v>0.05</v>
      </c>
      <c r="C31" s="11" t="s">
        <v>74</v>
      </c>
      <c r="D31" s="11" t="s">
        <v>96</v>
      </c>
    </row>
    <row r="33" customFormat="false" ht="15" hidden="false" customHeight="false" outlineLevel="0" collapsed="false">
      <c r="A33" s="7" t="s">
        <v>97</v>
      </c>
      <c r="B33" s="8"/>
      <c r="C33" s="8"/>
      <c r="D33" s="8"/>
    </row>
    <row r="34" customFormat="false" ht="15" hidden="false" customHeight="false" outlineLevel="0" collapsed="false">
      <c r="A34" s="9" t="s">
        <v>98</v>
      </c>
      <c r="B34" s="10" t="n">
        <v>8000000</v>
      </c>
      <c r="C34" s="11" t="s">
        <v>99</v>
      </c>
      <c r="D34" s="11" t="s">
        <v>100</v>
      </c>
    </row>
    <row r="35" customFormat="false" ht="15" hidden="false" customHeight="false" outlineLevel="0" collapsed="false">
      <c r="A35" s="9" t="s">
        <v>101</v>
      </c>
      <c r="B35" s="10" t="n">
        <v>5000000</v>
      </c>
      <c r="C35" s="11" t="s">
        <v>99</v>
      </c>
      <c r="D35" s="11" t="s">
        <v>102</v>
      </c>
    </row>
    <row r="36" customFormat="false" ht="15" hidden="false" customHeight="false" outlineLevel="0" collapsed="false">
      <c r="A36" s="9" t="s">
        <v>103</v>
      </c>
      <c r="B36" s="10" t="n">
        <v>1500000</v>
      </c>
      <c r="C36" s="11" t="s">
        <v>99</v>
      </c>
      <c r="D36" s="11" t="s">
        <v>104</v>
      </c>
    </row>
    <row r="37" customFormat="false" ht="15" hidden="false" customHeight="false" outlineLevel="0" collapsed="false">
      <c r="A37" s="9" t="s">
        <v>105</v>
      </c>
      <c r="B37" s="10" t="n">
        <v>500000</v>
      </c>
      <c r="C37" s="11" t="s">
        <v>99</v>
      </c>
      <c r="D37" s="11"/>
    </row>
    <row r="38" customFormat="false" ht="15" hidden="false" customHeight="false" outlineLevel="0" collapsed="false">
      <c r="A38" s="9" t="s">
        <v>106</v>
      </c>
      <c r="B38" s="10" t="n">
        <v>1000000</v>
      </c>
      <c r="C38" s="11" t="s">
        <v>99</v>
      </c>
      <c r="D38" s="11"/>
    </row>
    <row r="39" customFormat="false" ht="39" hidden="false" customHeight="true" outlineLevel="0" collapsed="false">
      <c r="A39" s="9" t="s">
        <v>107</v>
      </c>
      <c r="B39" s="10" t="n">
        <v>0</v>
      </c>
      <c r="C39" s="11" t="s">
        <v>99</v>
      </c>
      <c r="D39" s="11" t="s">
        <v>108</v>
      </c>
    </row>
    <row r="40" customFormat="false" ht="15" hidden="false" customHeight="false" outlineLevel="0" collapsed="false">
      <c r="A40" s="9" t="s">
        <v>109</v>
      </c>
      <c r="B40" s="10" t="n">
        <v>1000000</v>
      </c>
      <c r="C40" s="11" t="s">
        <v>99</v>
      </c>
      <c r="D40" s="11" t="s">
        <v>110</v>
      </c>
    </row>
    <row r="41" customFormat="false" ht="15" hidden="false" customHeight="false" outlineLevel="0" collapsed="false">
      <c r="A41" s="17" t="s">
        <v>111</v>
      </c>
      <c r="B41" s="18" t="n">
        <f aca="false">SUM(B34:B40)</f>
        <v>17000000</v>
      </c>
      <c r="C41" s="16" t="s">
        <v>99</v>
      </c>
      <c r="D41" s="16" t="s">
        <v>112</v>
      </c>
    </row>
  </sheetData>
  <dataValidations count="1">
    <dataValidation allowBlank="false" error="Выберите из списка: «Свой магазин» или «Uzum Market»" errorStyle="stop" errorTitle="Канал продаж" operator="between" prompt="Выберите из списка" promptTitle="Канал продаж" showDropDown="false" showErrorMessage="true" showInputMessage="true" sqref="B21" type="list">
      <formula1>"Свой магазин,Uzum Market"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7" min="3" style="0" width="15"/>
    <col collapsed="false" customWidth="true" hidden="false" outlineLevel="0" max="8" min="8" style="0" width="17"/>
    <col collapsed="false" customWidth="true" hidden="false" outlineLevel="0" max="9" min="9" style="0" width="64"/>
  </cols>
  <sheetData>
    <row r="1" customFormat="false" ht="17.35" hidden="false" customHeight="false" outlineLevel="0" collapsed="false">
      <c r="A1" s="1" t="s">
        <v>113</v>
      </c>
    </row>
    <row r="2" customFormat="false" ht="15" hidden="false" customHeight="false" outlineLevel="0" collapsed="false">
      <c r="A2" s="2" t="s">
        <v>114</v>
      </c>
    </row>
    <row r="3" customFormat="false" ht="15" hidden="false" customHeight="false" outlineLevel="0" collapsed="false">
      <c r="A3" s="19" t="str">
        <f aca="false">IF(OR(Допущения!$B$21="Свой магазин",Допущения!$B$21="Uzum Market"),"Канал продаж: "&amp;Допущения!$B$21,"Канал продаж не распознан — расчёт идёт как для «Свой магазин». Выберите значение из списка: лист «Допущения», ячейка B21")</f>
        <v>Канал продаж: Свой магазин</v>
      </c>
    </row>
    <row r="4" customFormat="false" ht="30" hidden="false" customHeight="true" outlineLevel="0" collapsed="false">
      <c r="A4" s="20" t="s">
        <v>115</v>
      </c>
      <c r="B4" s="20" t="s">
        <v>116</v>
      </c>
      <c r="C4" s="21" t="s">
        <v>117</v>
      </c>
      <c r="D4" s="21" t="s">
        <v>118</v>
      </c>
      <c r="E4" s="21" t="s">
        <v>119</v>
      </c>
      <c r="F4" s="21" t="s">
        <v>120</v>
      </c>
      <c r="G4" s="21" t="s">
        <v>121</v>
      </c>
      <c r="H4" s="20" t="s">
        <v>122</v>
      </c>
      <c r="I4" s="20" t="s">
        <v>123</v>
      </c>
    </row>
    <row r="5" customFormat="false" ht="15" hidden="false" customHeight="false" outlineLevel="0" collapsed="false">
      <c r="A5" s="7" t="s">
        <v>124</v>
      </c>
      <c r="B5" s="8"/>
      <c r="C5" s="8"/>
      <c r="D5" s="8"/>
      <c r="E5" s="8"/>
      <c r="F5" s="8"/>
      <c r="G5" s="8"/>
      <c r="H5" s="8"/>
      <c r="I5" s="8"/>
    </row>
    <row r="6" customFormat="false" ht="15" hidden="false" customHeight="false" outlineLevel="0" collapsed="false">
      <c r="A6" s="22" t="s">
        <v>125</v>
      </c>
      <c r="B6" s="16" t="s">
        <v>126</v>
      </c>
      <c r="C6" s="13" t="n">
        <v>65</v>
      </c>
      <c r="D6" s="13" t="n">
        <v>95</v>
      </c>
      <c r="E6" s="13" t="n">
        <v>90</v>
      </c>
      <c r="F6" s="13" t="n">
        <v>100</v>
      </c>
      <c r="G6" s="13" t="n">
        <v>125</v>
      </c>
      <c r="H6" s="23" t="n">
        <f aca="false">IF($H$8=0,0,SUMPRODUCT($C$8:$G$8,C6:G6)/$H$8)</f>
        <v>95.25</v>
      </c>
      <c r="I6" s="24" t="s">
        <v>127</v>
      </c>
    </row>
    <row r="7" customFormat="false" ht="15" hidden="false" customHeight="false" outlineLevel="0" collapsed="false">
      <c r="A7" s="22" t="s">
        <v>128</v>
      </c>
      <c r="B7" s="16" t="s">
        <v>129</v>
      </c>
      <c r="C7" s="10" t="n">
        <v>449000</v>
      </c>
      <c r="D7" s="10" t="n">
        <v>549000</v>
      </c>
      <c r="E7" s="10" t="n">
        <v>549000</v>
      </c>
      <c r="F7" s="10" t="n">
        <v>599000</v>
      </c>
      <c r="G7" s="10" t="n">
        <v>649000</v>
      </c>
      <c r="H7" s="25" t="n">
        <f aca="false">IF($H$8=0,0,SUMPRODUCT($C$8:$G$8,C7:G7)/$H$8)</f>
        <v>559000</v>
      </c>
      <c r="I7" s="24" t="s">
        <v>130</v>
      </c>
    </row>
    <row r="8" customFormat="false" ht="15" hidden="false" customHeight="false" outlineLevel="0" collapsed="false">
      <c r="A8" s="22" t="s">
        <v>131</v>
      </c>
      <c r="B8" s="16" t="s">
        <v>60</v>
      </c>
      <c r="C8" s="12" t="n">
        <v>0.2</v>
      </c>
      <c r="D8" s="12" t="n">
        <v>0.25</v>
      </c>
      <c r="E8" s="12" t="n">
        <v>0.15</v>
      </c>
      <c r="F8" s="12" t="n">
        <v>0.2</v>
      </c>
      <c r="G8" s="12" t="n">
        <v>0.2</v>
      </c>
      <c r="H8" s="26" t="n">
        <f aca="false">SUM(C8:G8)</f>
        <v>1</v>
      </c>
      <c r="I8" s="16" t="str">
        <f aca="false">IF(H8=0,"Задайте доли продаж моделей",IF(ABS(H8-1)&gt;0.001,"Доли в сумме "&amp;TEXT(H8,"0%")&amp;" — средняя считается пропорционально долям; проверьте ввод","Доли в сумме 100% — всё верно"))</f>
        <v>Доли в сумме 100% — всё верно</v>
      </c>
    </row>
    <row r="9" customFormat="false" ht="15" hidden="false" customHeight="false" outlineLevel="0" collapsed="false">
      <c r="A9" s="7" t="s">
        <v>132</v>
      </c>
      <c r="B9" s="8"/>
      <c r="C9" s="8"/>
      <c r="D9" s="8"/>
      <c r="E9" s="8"/>
      <c r="F9" s="8"/>
      <c r="G9" s="8"/>
      <c r="H9" s="8"/>
      <c r="I9" s="8"/>
    </row>
    <row r="10" customFormat="false" ht="15" hidden="false" customHeight="false" outlineLevel="0" collapsed="false">
      <c r="A10" s="9" t="s">
        <v>133</v>
      </c>
      <c r="B10" s="16" t="s">
        <v>129</v>
      </c>
      <c r="C10" s="27" t="n">
        <f aca="false">C6*Допущения!$B$7</f>
        <v>107250</v>
      </c>
      <c r="D10" s="27" t="n">
        <f aca="false">D6*Допущения!$B$7</f>
        <v>156750</v>
      </c>
      <c r="E10" s="27" t="n">
        <f aca="false">E6*Допущения!$B$7</f>
        <v>148500</v>
      </c>
      <c r="F10" s="27" t="n">
        <f aca="false">F6*Допущения!$B$7</f>
        <v>165000</v>
      </c>
      <c r="G10" s="27" t="n">
        <f aca="false">G6*Допущения!$B$7</f>
        <v>206250</v>
      </c>
      <c r="H10" s="25" t="n">
        <f aca="false">IF($H$8=0,0,SUMPRODUCT($C$8:$G$8,C10:G10)/$H$8)</f>
        <v>157162.5</v>
      </c>
      <c r="I10" s="24" t="s">
        <v>134</v>
      </c>
    </row>
    <row r="11" customFormat="false" ht="15" hidden="false" customHeight="false" outlineLevel="0" collapsed="false">
      <c r="A11" s="9" t="s">
        <v>135</v>
      </c>
      <c r="B11" s="16" t="s">
        <v>129</v>
      </c>
      <c r="C11" s="27" t="n">
        <f aca="false">C10*Допущения!$B$10+(C10+C12)*Допущения!$B$11</f>
        <v>5362.5</v>
      </c>
      <c r="D11" s="27" t="n">
        <f aca="false">D10*Допущения!$B$10+(D10+D12)*Допущения!$B$11</f>
        <v>7837.5</v>
      </c>
      <c r="E11" s="27" t="n">
        <f aca="false">E10*Допущения!$B$10+(E10+E12)*Допущения!$B$11</f>
        <v>7425</v>
      </c>
      <c r="F11" s="27" t="n">
        <f aca="false">F10*Допущения!$B$10+(F10+F12)*Допущения!$B$11</f>
        <v>8250</v>
      </c>
      <c r="G11" s="27" t="n">
        <f aca="false">G10*Допущения!$B$10+(G10+G12)*Допущения!$B$11</f>
        <v>10312.5</v>
      </c>
      <c r="H11" s="25" t="n">
        <f aca="false">IF($H$8=0,0,SUMPRODUCT($C$8:$G$8,C11:G11)/$H$8)</f>
        <v>7858.125</v>
      </c>
      <c r="I11" s="24" t="s">
        <v>136</v>
      </c>
    </row>
    <row r="12" customFormat="false" ht="15" hidden="false" customHeight="false" outlineLevel="0" collapsed="false">
      <c r="A12" s="9" t="s">
        <v>48</v>
      </c>
      <c r="B12" s="16" t="s">
        <v>129</v>
      </c>
      <c r="C12" s="27" t="n">
        <f aca="false">Допущения!$B$12*Допущения!$B$7</f>
        <v>23100</v>
      </c>
      <c r="D12" s="27" t="n">
        <f aca="false">Допущения!$B$12*Допущения!$B$7</f>
        <v>23100</v>
      </c>
      <c r="E12" s="27" t="n">
        <f aca="false">Допущения!$B$12*Допущения!$B$7</f>
        <v>23100</v>
      </c>
      <c r="F12" s="27" t="n">
        <f aca="false">Допущения!$B$12*Допущения!$B$7</f>
        <v>23100</v>
      </c>
      <c r="G12" s="27" t="n">
        <f aca="false">Допущения!$B$12*Допущения!$B$7</f>
        <v>23100</v>
      </c>
      <c r="H12" s="25" t="n">
        <f aca="false">IF($H$8=0,0,SUMPRODUCT($C$8:$G$8,C12:G12)/$H$8)</f>
        <v>23100</v>
      </c>
      <c r="I12" s="24" t="s">
        <v>137</v>
      </c>
    </row>
    <row r="13" customFormat="false" ht="15" hidden="false" customHeight="false" outlineLevel="0" collapsed="false">
      <c r="A13" s="9" t="s">
        <v>51</v>
      </c>
      <c r="B13" s="16" t="s">
        <v>129</v>
      </c>
      <c r="C13" s="27" t="n">
        <f aca="false">Допущения!$B$13*Допущения!$B$6</f>
        <v>40120</v>
      </c>
      <c r="D13" s="27" t="n">
        <f aca="false">Допущения!$B$13*Допущения!$B$6</f>
        <v>40120</v>
      </c>
      <c r="E13" s="27" t="n">
        <f aca="false">Допущения!$B$13*Допущения!$B$6</f>
        <v>40120</v>
      </c>
      <c r="F13" s="27" t="n">
        <f aca="false">Допущения!$B$13*Допущения!$B$6</f>
        <v>40120</v>
      </c>
      <c r="G13" s="27" t="n">
        <f aca="false">Допущения!$B$13*Допущения!$B$6</f>
        <v>40120</v>
      </c>
      <c r="H13" s="25" t="n">
        <f aca="false">IF($H$8=0,0,SUMPRODUCT($C$8:$G$8,C13:G13)/$H$8)</f>
        <v>40120</v>
      </c>
      <c r="I13" s="24" t="s">
        <v>138</v>
      </c>
    </row>
    <row r="14" customFormat="false" ht="15" hidden="false" customHeight="false" outlineLevel="0" collapsed="false">
      <c r="A14" s="28" t="s">
        <v>139</v>
      </c>
      <c r="B14" s="2" t="s">
        <v>129</v>
      </c>
      <c r="C14" s="29" t="n">
        <f aca="false">C10+C12+C13</f>
        <v>170470</v>
      </c>
      <c r="D14" s="29" t="n">
        <f aca="false">D10+D12+D13</f>
        <v>219970</v>
      </c>
      <c r="E14" s="29" t="n">
        <f aca="false">E10+E12+E13</f>
        <v>211720</v>
      </c>
      <c r="F14" s="29" t="n">
        <f aca="false">F10+F12+F13</f>
        <v>228220</v>
      </c>
      <c r="G14" s="29" t="n">
        <f aca="false">G10+G12+G13</f>
        <v>269470</v>
      </c>
      <c r="H14" s="30" t="n">
        <f aca="false">IF($H$8=0,0,SUMPRODUCT($C$8:$G$8,C14:G14)/$H$8)</f>
        <v>220382.5</v>
      </c>
      <c r="I14" s="24" t="s">
        <v>140</v>
      </c>
    </row>
    <row r="15" customFormat="false" ht="15" hidden="false" customHeight="false" outlineLevel="0" collapsed="false">
      <c r="A15" s="9" t="s">
        <v>141</v>
      </c>
      <c r="B15" s="16" t="s">
        <v>129</v>
      </c>
      <c r="C15" s="27" t="n">
        <f aca="false">MAX(C14*Допущения!$B$14,Допущения!$B$15*Допущения!$B$6)</f>
        <v>34094</v>
      </c>
      <c r="D15" s="27" t="n">
        <f aca="false">MAX(D14*Допущения!$B$14,Допущения!$B$15*Допущения!$B$6)</f>
        <v>43994</v>
      </c>
      <c r="E15" s="27" t="n">
        <f aca="false">MAX(E14*Допущения!$B$14,Допущения!$B$15*Допущения!$B$6)</f>
        <v>42344</v>
      </c>
      <c r="F15" s="27" t="n">
        <f aca="false">MAX(F14*Допущения!$B$14,Допущения!$B$15*Допущения!$B$6)</f>
        <v>45644</v>
      </c>
      <c r="G15" s="27" t="n">
        <f aca="false">MAX(G14*Допущения!$B$14,Допущения!$B$15*Допущения!$B$6)</f>
        <v>53894</v>
      </c>
      <c r="H15" s="25" t="n">
        <f aca="false">IF($H$8=0,0,SUMPRODUCT($C$8:$G$8,C15:G15)/$H$8)</f>
        <v>44076.5</v>
      </c>
      <c r="I15" s="24" t="s">
        <v>142</v>
      </c>
    </row>
    <row r="16" customFormat="false" ht="15" hidden="false" customHeight="false" outlineLevel="0" collapsed="false">
      <c r="A16" s="9" t="s">
        <v>59</v>
      </c>
      <c r="B16" s="16" t="s">
        <v>129</v>
      </c>
      <c r="C16" s="27" t="n">
        <f aca="false">(C14+C15)*Допущения!$B$16</f>
        <v>24547.68</v>
      </c>
      <c r="D16" s="27" t="n">
        <f aca="false">(D14+D15)*Допущения!$B$16</f>
        <v>31675.68</v>
      </c>
      <c r="E16" s="27" t="n">
        <f aca="false">(E14+E15)*Допущения!$B$16</f>
        <v>30487.68</v>
      </c>
      <c r="F16" s="27" t="n">
        <f aca="false">(F14+F15)*Допущения!$B$16</f>
        <v>32863.68</v>
      </c>
      <c r="G16" s="27" t="n">
        <f aca="false">(G14+G15)*Допущения!$B$16</f>
        <v>38803.68</v>
      </c>
      <c r="H16" s="25" t="n">
        <f aca="false">IF($H$8=0,0,SUMPRODUCT($C$8:$G$8,C16:G16)/$H$8)</f>
        <v>31735.08</v>
      </c>
      <c r="I16" s="24" t="s">
        <v>143</v>
      </c>
    </row>
    <row r="17" customFormat="false" ht="15" hidden="false" customHeight="false" outlineLevel="0" collapsed="false">
      <c r="A17" s="9" t="s">
        <v>62</v>
      </c>
      <c r="B17" s="16" t="s">
        <v>129</v>
      </c>
      <c r="C17" s="27" t="n">
        <f aca="false">Допущения!$B$17</f>
        <v>10000</v>
      </c>
      <c r="D17" s="27" t="n">
        <f aca="false">Допущения!$B$17</f>
        <v>10000</v>
      </c>
      <c r="E17" s="27" t="n">
        <f aca="false">Допущения!$B$17</f>
        <v>10000</v>
      </c>
      <c r="F17" s="27" t="n">
        <f aca="false">Допущения!$B$17</f>
        <v>10000</v>
      </c>
      <c r="G17" s="27" t="n">
        <f aca="false">Допущения!$B$17</f>
        <v>10000</v>
      </c>
      <c r="H17" s="25" t="n">
        <f aca="false">IF($H$8=0,0,SUMPRODUCT($C$8:$G$8,C17:G17)/$H$8)</f>
        <v>10000</v>
      </c>
      <c r="I17" s="24" t="s">
        <v>144</v>
      </c>
    </row>
    <row r="18" customFormat="false" ht="15" hidden="false" customHeight="false" outlineLevel="0" collapsed="false">
      <c r="A18" s="31" t="s">
        <v>145</v>
      </c>
      <c r="B18" s="16" t="s">
        <v>129</v>
      </c>
      <c r="C18" s="18" t="n">
        <f aca="false">(C10+C11+C12+C13+C15+C16+C17)/(1-Допущения!$B$18)</f>
        <v>244474.18</v>
      </c>
      <c r="D18" s="18" t="n">
        <f aca="false">(D10+D11+D12+D13+D15+D16+D17)/(1-Допущения!$B$18)</f>
        <v>313477.18</v>
      </c>
      <c r="E18" s="18" t="n">
        <f aca="false">(E10+E11+E12+E13+E15+E16+E17)/(1-Допущения!$B$18)</f>
        <v>301976.68</v>
      </c>
      <c r="F18" s="18" t="n">
        <f aca="false">(F10+F11+F12+F13+F15+F16+F17)/(1-Допущения!$B$18)</f>
        <v>324977.68</v>
      </c>
      <c r="G18" s="18" t="n">
        <f aca="false">(G10+G11+G12+G13+G15+G16+G17)/(1-Допущения!$B$18)</f>
        <v>382480.18</v>
      </c>
      <c r="H18" s="18" t="n">
        <f aca="false">IF($H$8=0,0,SUMPRODUCT($C$8:$G$8,C18:G18)/$H$8)</f>
        <v>314052.205</v>
      </c>
      <c r="I18" s="24" t="s">
        <v>146</v>
      </c>
    </row>
    <row r="19" customFormat="false" ht="15" hidden="false" customHeight="false" outlineLevel="0" collapsed="false">
      <c r="A19" s="7" t="s">
        <v>147</v>
      </c>
      <c r="B19" s="8"/>
      <c r="C19" s="8"/>
      <c r="D19" s="8"/>
      <c r="E19" s="8"/>
      <c r="F19" s="8"/>
      <c r="G19" s="8"/>
      <c r="H19" s="8"/>
      <c r="I19" s="8"/>
    </row>
    <row r="20" customFormat="false" ht="15" hidden="false" customHeight="false" outlineLevel="0" collapsed="false">
      <c r="A20" s="9" t="s">
        <v>148</v>
      </c>
      <c r="B20" s="16" t="s">
        <v>129</v>
      </c>
      <c r="C20" s="27" t="n">
        <f aca="false">C7*(1-Допущения!$B$22)</f>
        <v>449000</v>
      </c>
      <c r="D20" s="27" t="n">
        <f aca="false">D7*(1-Допущения!$B$22)</f>
        <v>549000</v>
      </c>
      <c r="E20" s="27" t="n">
        <f aca="false">E7*(1-Допущения!$B$22)</f>
        <v>549000</v>
      </c>
      <c r="F20" s="27" t="n">
        <f aca="false">F7*(1-Допущения!$B$22)</f>
        <v>599000</v>
      </c>
      <c r="G20" s="27" t="n">
        <f aca="false">G7*(1-Допущения!$B$22)</f>
        <v>649000</v>
      </c>
      <c r="H20" s="25" t="n">
        <f aca="false">IF($H$8=0,0,SUMPRODUCT($C$8:$G$8,C20:G20)/$H$8)</f>
        <v>559000</v>
      </c>
      <c r="I20" s="24" t="s">
        <v>149</v>
      </c>
    </row>
    <row r="21" customFormat="false" ht="15" hidden="false" customHeight="false" outlineLevel="0" collapsed="false">
      <c r="A21" s="9" t="s">
        <v>150</v>
      </c>
      <c r="B21" s="16" t="s">
        <v>129</v>
      </c>
      <c r="C21" s="27" t="n">
        <f aca="false">IF(Допущения!$B$21="Uzum Market",Допущения!$B$30,Допущения!$B$23)</f>
        <v>30000</v>
      </c>
      <c r="D21" s="27" t="n">
        <f aca="false">IF(Допущения!$B$21="Uzum Market",Допущения!$B$30,Допущения!$B$23)</f>
        <v>30000</v>
      </c>
      <c r="E21" s="27" t="n">
        <f aca="false">IF(Допущения!$B$21="Uzum Market",Допущения!$B$30,Допущения!$B$23)</f>
        <v>30000</v>
      </c>
      <c r="F21" s="27" t="n">
        <f aca="false">IF(Допущения!$B$21="Uzum Market",Допущения!$B$30,Допущения!$B$23)</f>
        <v>30000</v>
      </c>
      <c r="G21" s="27" t="n">
        <f aca="false">IF(Допущения!$B$21="Uzum Market",Допущения!$B$30,Допущения!$B$23)</f>
        <v>30000</v>
      </c>
      <c r="H21" s="25" t="n">
        <f aca="false">IF($H$8=0,0,SUMPRODUCT($C$8:$G$8,C21:G21)/$H$8)</f>
        <v>30000</v>
      </c>
      <c r="I21" s="24" t="s">
        <v>151</v>
      </c>
    </row>
    <row r="22" customFormat="false" ht="15" hidden="false" customHeight="false" outlineLevel="0" collapsed="false">
      <c r="A22" s="9" t="s">
        <v>152</v>
      </c>
      <c r="B22" s="16" t="s">
        <v>129</v>
      </c>
      <c r="C22" s="27" t="n">
        <f aca="false">C21*Допущения!$B$24+2*C21*Допущения!$B$25/(1-Допущения!$B$25)</f>
        <v>2400</v>
      </c>
      <c r="D22" s="27" t="n">
        <f aca="false">D21*Допущения!$B$24+2*D21*Допущения!$B$25/(1-Допущения!$B$25)</f>
        <v>2400</v>
      </c>
      <c r="E22" s="27" t="n">
        <f aca="false">E21*Допущения!$B$24+2*E21*Допущения!$B$25/(1-Допущения!$B$25)</f>
        <v>2400</v>
      </c>
      <c r="F22" s="27" t="n">
        <f aca="false">F21*Допущения!$B$24+2*F21*Допущения!$B$25/(1-Допущения!$B$25)</f>
        <v>2400</v>
      </c>
      <c r="G22" s="27" t="n">
        <f aca="false">G21*Допущения!$B$24+2*G21*Допущения!$B$25/(1-Допущения!$B$25)</f>
        <v>2400</v>
      </c>
      <c r="H22" s="25" t="n">
        <f aca="false">IF($H$8=0,0,SUMPRODUCT($C$8:$G$8,C22:G22)/$H$8)</f>
        <v>2400</v>
      </c>
      <c r="I22" s="24" t="s">
        <v>153</v>
      </c>
    </row>
    <row r="23" customFormat="false" ht="15" hidden="false" customHeight="false" outlineLevel="0" collapsed="false">
      <c r="A23" s="9" t="s">
        <v>154</v>
      </c>
      <c r="B23" s="16" t="s">
        <v>129</v>
      </c>
      <c r="C23" s="27" t="n">
        <f aca="false">C20*Допущения!$B$26</f>
        <v>4490</v>
      </c>
      <c r="D23" s="27" t="n">
        <f aca="false">D20*Допущения!$B$26</f>
        <v>5490</v>
      </c>
      <c r="E23" s="27" t="n">
        <f aca="false">E20*Допущения!$B$26</f>
        <v>5490</v>
      </c>
      <c r="F23" s="27" t="n">
        <f aca="false">F20*Допущения!$B$26</f>
        <v>5990</v>
      </c>
      <c r="G23" s="27" t="n">
        <f aca="false">G20*Допущения!$B$26</f>
        <v>6490</v>
      </c>
      <c r="H23" s="25" t="n">
        <f aca="false">IF($H$8=0,0,SUMPRODUCT($C$8:$G$8,C23:G23)/$H$8)</f>
        <v>5590</v>
      </c>
      <c r="I23" s="24" t="s">
        <v>155</v>
      </c>
    </row>
    <row r="24" customFormat="false" ht="15" hidden="false" customHeight="false" outlineLevel="0" collapsed="false">
      <c r="A24" s="9" t="s">
        <v>156</v>
      </c>
      <c r="B24" s="16" t="s">
        <v>129</v>
      </c>
      <c r="C24" s="27" t="n">
        <f aca="false">IF(Допущения!$B$21="Uzum Market",0,C20*Допущения!$B$27)</f>
        <v>4490</v>
      </c>
      <c r="D24" s="27" t="n">
        <f aca="false">IF(Допущения!$B$21="Uzum Market",0,D20*Допущения!$B$27)</f>
        <v>5490</v>
      </c>
      <c r="E24" s="27" t="n">
        <f aca="false">IF(Допущения!$B$21="Uzum Market",0,E20*Допущения!$B$27)</f>
        <v>5490</v>
      </c>
      <c r="F24" s="27" t="n">
        <f aca="false">IF(Допущения!$B$21="Uzum Market",0,F20*Допущения!$B$27)</f>
        <v>5990</v>
      </c>
      <c r="G24" s="27" t="n">
        <f aca="false">IF(Допущения!$B$21="Uzum Market",0,G20*Допущения!$B$27)</f>
        <v>6490</v>
      </c>
      <c r="H24" s="25" t="n">
        <f aca="false">IF($H$8=0,0,SUMPRODUCT($C$8:$G$8,C24:G24)/$H$8)</f>
        <v>5590</v>
      </c>
      <c r="I24" s="24" t="s">
        <v>157</v>
      </c>
    </row>
    <row r="25" customFormat="false" ht="15" hidden="false" customHeight="false" outlineLevel="0" collapsed="false">
      <c r="A25" s="9" t="s">
        <v>158</v>
      </c>
      <c r="B25" s="16" t="s">
        <v>129</v>
      </c>
      <c r="C25" s="27" t="n">
        <f aca="false">IF(Допущения!$B$21="Uzum Market",C20*Допущения!$B$29,0)</f>
        <v>0</v>
      </c>
      <c r="D25" s="27" t="n">
        <f aca="false">IF(Допущения!$B$21="Uzum Market",D20*Допущения!$B$29,0)</f>
        <v>0</v>
      </c>
      <c r="E25" s="27" t="n">
        <f aca="false">IF(Допущения!$B$21="Uzum Market",E20*Допущения!$B$29,0)</f>
        <v>0</v>
      </c>
      <c r="F25" s="27" t="n">
        <f aca="false">IF(Допущения!$B$21="Uzum Market",F20*Допущения!$B$29,0)</f>
        <v>0</v>
      </c>
      <c r="G25" s="27" t="n">
        <f aca="false">IF(Допущения!$B$21="Uzum Market",G20*Допущения!$B$29,0)</f>
        <v>0</v>
      </c>
      <c r="H25" s="25" t="n">
        <f aca="false">IF($H$8=0,0,SUMPRODUCT($C$8:$G$8,C25:G25)/$H$8)</f>
        <v>0</v>
      </c>
      <c r="I25" s="24" t="s">
        <v>159</v>
      </c>
    </row>
    <row r="26" customFormat="false" ht="15" hidden="false" customHeight="false" outlineLevel="0" collapsed="false">
      <c r="A26" s="9" t="s">
        <v>160</v>
      </c>
      <c r="B26" s="16" t="s">
        <v>129</v>
      </c>
      <c r="C26" s="27" t="n">
        <f aca="false">IF(Допущения!$B$21="Uzum Market",C20*Допущения!$B$31,Допущения!$B$28)</f>
        <v>70000</v>
      </c>
      <c r="D26" s="27" t="n">
        <f aca="false">IF(Допущения!$B$21="Uzum Market",D20*Допущения!$B$31,Допущения!$B$28)</f>
        <v>70000</v>
      </c>
      <c r="E26" s="27" t="n">
        <f aca="false">IF(Допущения!$B$21="Uzum Market",E20*Допущения!$B$31,Допущения!$B$28)</f>
        <v>70000</v>
      </c>
      <c r="F26" s="27" t="n">
        <f aca="false">IF(Допущения!$B$21="Uzum Market",F20*Допущения!$B$31,Допущения!$B$28)</f>
        <v>70000</v>
      </c>
      <c r="G26" s="27" t="n">
        <f aca="false">IF(Допущения!$B$21="Uzum Market",G20*Допущения!$B$31,Допущения!$B$28)</f>
        <v>70000</v>
      </c>
      <c r="H26" s="25" t="n">
        <f aca="false">IF($H$8=0,0,SUMPRODUCT($C$8:$G$8,C26:G26)/$H$8)</f>
        <v>70000</v>
      </c>
      <c r="I26" s="24" t="s">
        <v>161</v>
      </c>
    </row>
    <row r="27" customFormat="false" ht="15" hidden="false" customHeight="false" outlineLevel="0" collapsed="false">
      <c r="A27" s="31" t="s">
        <v>162</v>
      </c>
      <c r="B27" s="16" t="s">
        <v>129</v>
      </c>
      <c r="C27" s="18" t="n">
        <f aca="false">SUM(C21:C26)</f>
        <v>111380</v>
      </c>
      <c r="D27" s="18" t="n">
        <f aca="false">SUM(D21:D26)</f>
        <v>113380</v>
      </c>
      <c r="E27" s="18" t="n">
        <f aca="false">SUM(E21:E26)</f>
        <v>113380</v>
      </c>
      <c r="F27" s="18" t="n">
        <f aca="false">SUM(F21:F26)</f>
        <v>114380</v>
      </c>
      <c r="G27" s="18" t="n">
        <f aca="false">SUM(G21:G26)</f>
        <v>115380</v>
      </c>
      <c r="H27" s="18" t="n">
        <f aca="false">IF($H$8=0,0,SUMPRODUCT($C$8:$G$8,C27:G27)/$H$8)</f>
        <v>113580</v>
      </c>
      <c r="I27" s="24" t="s">
        <v>163</v>
      </c>
    </row>
    <row r="28" customFormat="false" ht="15" hidden="false" customHeight="false" outlineLevel="0" collapsed="false">
      <c r="A28" s="7" t="s">
        <v>164</v>
      </c>
      <c r="B28" s="8"/>
      <c r="C28" s="8"/>
      <c r="D28" s="8"/>
      <c r="E28" s="8"/>
      <c r="F28" s="8"/>
      <c r="G28" s="8"/>
      <c r="H28" s="8"/>
      <c r="I28" s="8"/>
    </row>
    <row r="29" customFormat="false" ht="25.5" hidden="false" customHeight="true" outlineLevel="0" collapsed="false">
      <c r="A29" s="31" t="s">
        <v>165</v>
      </c>
      <c r="B29" s="16" t="s">
        <v>129</v>
      </c>
      <c r="C29" s="18" t="n">
        <f aca="false">C20-C18-C27</f>
        <v>93145.82</v>
      </c>
      <c r="D29" s="18" t="n">
        <f aca="false">D20-D18-D27</f>
        <v>122142.82</v>
      </c>
      <c r="E29" s="18" t="n">
        <f aca="false">E20-E18-E27</f>
        <v>133643.32</v>
      </c>
      <c r="F29" s="18" t="n">
        <f aca="false">F20-F18-F27</f>
        <v>159642.32</v>
      </c>
      <c r="G29" s="18" t="n">
        <f aca="false">G20-G18-G27</f>
        <v>151139.82</v>
      </c>
      <c r="H29" s="18" t="n">
        <f aca="false">IF($H$8=0,0,SUMPRODUCT($C$8:$G$8,C29:G29)/$H$8)</f>
        <v>131367.795</v>
      </c>
      <c r="I29" s="24" t="s">
        <v>166</v>
      </c>
    </row>
    <row r="30" customFormat="false" ht="15" hidden="false" customHeight="false" outlineLevel="0" collapsed="false">
      <c r="A30" s="9" t="s">
        <v>167</v>
      </c>
      <c r="B30" s="16" t="s">
        <v>60</v>
      </c>
      <c r="C30" s="32" t="n">
        <f aca="false">IFERROR(C29/C20,0)</f>
        <v>0.207451714922049</v>
      </c>
      <c r="D30" s="32" t="n">
        <f aca="false">IFERROR(D29/D20,0)</f>
        <v>0.222482367941712</v>
      </c>
      <c r="E30" s="32" t="n">
        <f aca="false">IFERROR(E29/E20,0)</f>
        <v>0.243430455373406</v>
      </c>
      <c r="F30" s="32" t="n">
        <f aca="false">IFERROR(F29/F20,0)</f>
        <v>0.266514724540902</v>
      </c>
      <c r="G30" s="32" t="n">
        <f aca="false">IFERROR(G29/G20,0)</f>
        <v>0.232881078582435</v>
      </c>
      <c r="H30" s="33" t="n">
        <f aca="false">IFERROR(H29/H20,0)</f>
        <v>0.235005</v>
      </c>
      <c r="I30" s="24" t="s">
        <v>168</v>
      </c>
    </row>
    <row r="31" customFormat="false" ht="25.5" hidden="false" customHeight="true" outlineLevel="0" collapsed="false">
      <c r="A31" s="9" t="s">
        <v>169</v>
      </c>
      <c r="B31" s="16" t="s">
        <v>170</v>
      </c>
      <c r="C31" s="34" t="n">
        <f aca="false">IFERROR(C20/C18,0)</f>
        <v>1.83659476841276</v>
      </c>
      <c r="D31" s="34" t="n">
        <f aca="false">IFERROR(D20/D18,0)</f>
        <v>1.75132365296893</v>
      </c>
      <c r="E31" s="34" t="n">
        <f aca="false">IFERROR(E20/E18,0)</f>
        <v>1.81802117964871</v>
      </c>
      <c r="F31" s="34" t="n">
        <f aca="false">IFERROR(F20/F18,0)</f>
        <v>1.8432035086225</v>
      </c>
      <c r="G31" s="34" t="n">
        <f aca="false">IFERROR(G20/G18,0)</f>
        <v>1.69681995025206</v>
      </c>
      <c r="H31" s="35" t="n">
        <f aca="false">IFERROR(H20/H18,0)</f>
        <v>1.77995884474048</v>
      </c>
      <c r="I31" s="24" t="s">
        <v>171</v>
      </c>
    </row>
    <row r="32" customFormat="false" ht="15" hidden="false" customHeight="false" outlineLevel="0" collapsed="false">
      <c r="A32" s="9" t="s">
        <v>172</v>
      </c>
      <c r="B32" s="16" t="s">
        <v>129</v>
      </c>
      <c r="C32" s="27" t="n">
        <f aca="false">C29+C26</f>
        <v>163145.82</v>
      </c>
      <c r="D32" s="27" t="n">
        <f aca="false">D29+D26</f>
        <v>192142.82</v>
      </c>
      <c r="E32" s="27" t="n">
        <f aca="false">E29+E26</f>
        <v>203643.32</v>
      </c>
      <c r="F32" s="27" t="n">
        <f aca="false">F29+F26</f>
        <v>229642.32</v>
      </c>
      <c r="G32" s="27" t="n">
        <f aca="false">G29+G26</f>
        <v>221139.82</v>
      </c>
      <c r="H32" s="25" t="n">
        <f aca="false">IF($H$8=0,0,SUMPRODUCT($C$8:$G$8,C32:G32)/$H$8)</f>
        <v>201367.795</v>
      </c>
      <c r="I32" s="24" t="s">
        <v>173</v>
      </c>
    </row>
    <row r="33" customFormat="false" ht="25.5" hidden="false" customHeight="true" outlineLevel="0" collapsed="false">
      <c r="A33" s="9" t="s">
        <v>174</v>
      </c>
      <c r="B33" s="16" t="s">
        <v>129</v>
      </c>
      <c r="C33" s="27" t="n">
        <f aca="false">IFERROR((C18+C21+C22+IF(Допущения!$B$21="Uzum Market",0,Допущения!$B$28))/(1-Допущения!$B$26-IF(Допущения!$B$21="Uzum Market",Допущения!$B$29+Допущения!$B$31,Допущения!$B$27))/(1-Допущения!$B$22),0)</f>
        <v>353953.244897959</v>
      </c>
      <c r="D33" s="27" t="n">
        <f aca="false">IFERROR((D18+D21+D22+IF(Допущения!$B$21="Uzum Market",0,Допущения!$B$28))/(1-Допущения!$B$26-IF(Допущения!$B$21="Uzum Market",Допущения!$B$29+Допущения!$B$31,Допущения!$B$27))/(1-Допущения!$B$22),0)</f>
        <v>424364.469387755</v>
      </c>
      <c r="E33" s="27" t="n">
        <f aca="false">IFERROR((E18+E21+E22+IF(Допущения!$B$21="Uzum Market",0,Допущения!$B$28))/(1-Допущения!$B$26-IF(Допущения!$B$21="Uzum Market",Допущения!$B$29+Допущения!$B$31,Допущения!$B$27))/(1-Допущения!$B$22),0)</f>
        <v>412629.265306122</v>
      </c>
      <c r="F33" s="27" t="n">
        <f aca="false">IFERROR((F18+F21+F22+IF(Допущения!$B$21="Uzum Market",0,Допущения!$B$28))/(1-Допущения!$B$26-IF(Допущения!$B$21="Uzum Market",Допущения!$B$29+Допущения!$B$31,Допущения!$B$27))/(1-Допущения!$B$22),0)</f>
        <v>436099.673469388</v>
      </c>
      <c r="G33" s="27" t="n">
        <f aca="false">IFERROR((G18+G21+G22+IF(Допущения!$B$21="Uzum Market",0,Допущения!$B$28))/(1-Допущения!$B$26-IF(Допущения!$B$21="Uzum Market",Допущения!$B$29+Допущения!$B$31,Допущения!$B$27))/(1-Допущения!$B$22),0)</f>
        <v>494775.693877551</v>
      </c>
      <c r="H33" s="25" t="n">
        <f aca="false">IF($H$8=0,0,SUMPRODUCT($C$8:$G$8,C33:G33)/$H$8)</f>
        <v>424951.229591837</v>
      </c>
      <c r="I33" s="24" t="s">
        <v>175</v>
      </c>
    </row>
    <row r="35" customFormat="false" ht="15" hidden="false" customHeight="false" outlineLevel="0" collapsed="false">
      <c r="A35" s="7" t="s">
        <v>176</v>
      </c>
      <c r="B35" s="8"/>
      <c r="C35" s="8"/>
      <c r="D35" s="8"/>
      <c r="E35" s="8"/>
      <c r="F35" s="8"/>
      <c r="G35" s="8"/>
      <c r="H35" s="8"/>
      <c r="I35" s="8"/>
    </row>
    <row r="36" customFormat="false" ht="15" hidden="false" customHeight="false" outlineLevel="0" collapsed="false">
      <c r="A36" s="22" t="s">
        <v>177</v>
      </c>
      <c r="B36" s="16" t="s">
        <v>129</v>
      </c>
      <c r="H36" s="36" t="n">
        <f aca="false">Допущения!$B$41</f>
        <v>17000000</v>
      </c>
      <c r="I36" s="24" t="s">
        <v>144</v>
      </c>
    </row>
    <row r="37" customFormat="false" ht="25.5" hidden="false" customHeight="true" outlineLevel="0" collapsed="false">
      <c r="A37" s="17" t="s">
        <v>178</v>
      </c>
      <c r="B37" s="16" t="s">
        <v>179</v>
      </c>
      <c r="H37" s="37" t="n">
        <f aca="false">IF($H$8=0,"задайте доли",IF(ROUND(H29,0)&lt;=0,"убыток с заказа",H36/H29))</f>
        <v>129.407667990469</v>
      </c>
      <c r="I37" s="24" t="s">
        <v>180</v>
      </c>
    </row>
    <row r="38" customFormat="false" ht="15" hidden="false" customHeight="false" outlineLevel="0" collapsed="false">
      <c r="A38" s="22" t="s">
        <v>181</v>
      </c>
      <c r="B38" s="16" t="s">
        <v>182</v>
      </c>
      <c r="H38" s="38" t="n">
        <f aca="false">IF(ISNUMBER(H37),H37/30,"—")</f>
        <v>4.31358893301564</v>
      </c>
      <c r="I38" s="24" t="s">
        <v>183</v>
      </c>
    </row>
    <row r="39" customFormat="false" ht="25.5" hidden="false" customHeight="true" outlineLevel="0" collapsed="false">
      <c r="A39" s="22" t="s">
        <v>184</v>
      </c>
      <c r="B39" s="16" t="s">
        <v>179</v>
      </c>
      <c r="H39" s="39" t="n">
        <f aca="false">IF(H20&gt;0,1000000000/12/H20,"—")</f>
        <v>149.075730471079</v>
      </c>
      <c r="I39" s="24" t="s">
        <v>185</v>
      </c>
    </row>
  </sheetData>
  <conditionalFormatting sqref="A3">
    <cfRule type="expression" priority="2" aboveAverage="0" equalAverage="0" bottom="0" percent="0" rank="0" text="" dxfId="0">
      <formula>ISNUMBER(SEARCH("не распознан",$A$3))</formula>
    </cfRule>
  </conditionalFormatting>
  <conditionalFormatting sqref="I8">
    <cfRule type="expression" priority="3" aboveAverage="0" equalAverage="0" bottom="0" percent="0" rank="0" text="" dxfId="0">
      <formula>ABS($H$8-1)&gt;0.001</formula>
    </cfRule>
  </conditionalFormatting>
  <conditionalFormatting sqref="C29:H29">
    <cfRule type="expression" priority="4" aboveAverage="0" equalAverage="0" bottom="0" percent="0" rank="0" text="" dxfId="0">
      <formula>C29&lt;0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N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3" min="2" style="0" width="13"/>
    <col collapsed="false" customWidth="true" hidden="false" outlineLevel="0" max="14" min="14" style="0" width="15"/>
  </cols>
  <sheetData>
    <row r="1" customFormat="false" ht="17.35" hidden="false" customHeight="false" outlineLevel="0" collapsed="false">
      <c r="A1" s="1" t="s">
        <v>186</v>
      </c>
    </row>
    <row r="2" customFormat="false" ht="15" hidden="false" customHeight="false" outlineLevel="0" collapsed="false">
      <c r="A2" s="2" t="s">
        <v>187</v>
      </c>
    </row>
    <row r="3" customFormat="false" ht="15" hidden="false" customHeight="false" outlineLevel="0" collapsed="false">
      <c r="A3" s="40" t="str">
        <f aca="false">IF('Юнит-экономика'!$H$8=0,"Внимание: на листе «Юнит-экономика» не заданы доли продаж моделей (строка 8)","")</f>
        <v/>
      </c>
    </row>
    <row r="4" customFormat="false" ht="15" hidden="false" customHeight="false" outlineLevel="0" collapsed="false">
      <c r="A4" s="6" t="s">
        <v>115</v>
      </c>
      <c r="B4" s="41" t="s">
        <v>188</v>
      </c>
      <c r="C4" s="41" t="s">
        <v>189</v>
      </c>
      <c r="D4" s="41" t="s">
        <v>190</v>
      </c>
      <c r="E4" s="41" t="s">
        <v>191</v>
      </c>
      <c r="F4" s="41" t="s">
        <v>192</v>
      </c>
      <c r="G4" s="41" t="s">
        <v>193</v>
      </c>
      <c r="H4" s="41" t="s">
        <v>194</v>
      </c>
      <c r="I4" s="41" t="s">
        <v>195</v>
      </c>
      <c r="J4" s="41" t="s">
        <v>196</v>
      </c>
      <c r="K4" s="41" t="s">
        <v>197</v>
      </c>
      <c r="L4" s="41" t="s">
        <v>198</v>
      </c>
      <c r="M4" s="41" t="s">
        <v>199</v>
      </c>
      <c r="N4" s="20" t="s">
        <v>200</v>
      </c>
    </row>
    <row r="5" customFormat="false" ht="15" hidden="false" customHeight="false" outlineLevel="0" collapsed="false">
      <c r="A5" s="22" t="s">
        <v>201</v>
      </c>
      <c r="B5" s="10" t="n">
        <v>40</v>
      </c>
      <c r="C5" s="10" t="n">
        <v>70</v>
      </c>
      <c r="D5" s="10" t="n">
        <v>150</v>
      </c>
      <c r="E5" s="10" t="n">
        <v>100</v>
      </c>
      <c r="F5" s="10" t="n">
        <v>120</v>
      </c>
      <c r="G5" s="10" t="n">
        <v>130</v>
      </c>
      <c r="H5" s="10" t="n">
        <v>120</v>
      </c>
      <c r="I5" s="10" t="n">
        <v>140</v>
      </c>
      <c r="J5" s="10" t="n">
        <v>160</v>
      </c>
      <c r="K5" s="10" t="n">
        <v>180</v>
      </c>
      <c r="L5" s="10" t="n">
        <v>200</v>
      </c>
      <c r="M5" s="10" t="n">
        <v>260</v>
      </c>
      <c r="N5" s="25" t="n">
        <f aca="false">SUM(B5:M5)</f>
        <v>1670</v>
      </c>
    </row>
    <row r="6" customFormat="false" ht="15" hidden="false" customHeight="false" outlineLevel="0" collapsed="false">
      <c r="A6" s="22" t="s">
        <v>202</v>
      </c>
      <c r="B6" s="27" t="n">
        <f aca="false">B7*Допущения!$B$41</f>
        <v>10000000</v>
      </c>
      <c r="C6" s="27" t="n">
        <f aca="false">C7*Допущения!$B$41</f>
        <v>10000000</v>
      </c>
      <c r="D6" s="27" t="n">
        <f aca="false">D7*Допущения!$B$41</f>
        <v>10000000</v>
      </c>
      <c r="E6" s="27" t="n">
        <f aca="false">E7*Допущения!$B$41</f>
        <v>14000000</v>
      </c>
      <c r="F6" s="27" t="n">
        <f aca="false">F7*Допущения!$B$41</f>
        <v>14000000</v>
      </c>
      <c r="G6" s="27" t="n">
        <f aca="false">G7*Допущения!$B$41</f>
        <v>14000000</v>
      </c>
      <c r="H6" s="27" t="n">
        <f aca="false">H7*Допущения!$B$41</f>
        <v>17000000</v>
      </c>
      <c r="I6" s="27" t="n">
        <f aca="false">I7*Допущения!$B$41</f>
        <v>17000000</v>
      </c>
      <c r="J6" s="27" t="n">
        <f aca="false">J7*Допущения!$B$41</f>
        <v>17000000</v>
      </c>
      <c r="K6" s="27" t="n">
        <f aca="false">K7*Допущения!$B$41</f>
        <v>17000000</v>
      </c>
      <c r="L6" s="27" t="n">
        <f aca="false">L7*Допущения!$B$41</f>
        <v>17000000</v>
      </c>
      <c r="M6" s="27" t="n">
        <f aca="false">M7*Допущения!$B$41</f>
        <v>17000000</v>
      </c>
      <c r="N6" s="25" t="n">
        <f aca="false">SUM(B6:M6)</f>
        <v>174000000</v>
      </c>
    </row>
    <row r="7" customFormat="false" ht="15" hidden="false" customHeight="false" outlineLevel="0" collapsed="false">
      <c r="A7" s="22" t="s">
        <v>203</v>
      </c>
      <c r="B7" s="42" t="n">
        <v>0.588235294117647</v>
      </c>
      <c r="C7" s="42" t="n">
        <v>0.588235294117647</v>
      </c>
      <c r="D7" s="42" t="n">
        <v>0.588235294117647</v>
      </c>
      <c r="E7" s="42" t="n">
        <v>0.823529411764706</v>
      </c>
      <c r="F7" s="42" t="n">
        <v>0.823529411764706</v>
      </c>
      <c r="G7" s="42" t="n">
        <v>0.823529411764706</v>
      </c>
      <c r="H7" s="42" t="n">
        <v>1</v>
      </c>
      <c r="I7" s="42" t="n">
        <v>1</v>
      </c>
      <c r="J7" s="42" t="n">
        <v>1</v>
      </c>
      <c r="K7" s="42" t="n">
        <v>1</v>
      </c>
      <c r="L7" s="42" t="n">
        <v>1</v>
      </c>
      <c r="M7" s="42" t="n">
        <v>1</v>
      </c>
    </row>
    <row r="8" customFormat="false" ht="15" hidden="false" customHeight="false" outlineLevel="0" collapsed="false">
      <c r="A8" s="22" t="s">
        <v>204</v>
      </c>
      <c r="B8" s="27" t="n">
        <f aca="false">B5*'Юнит-экономика'!$H$20</f>
        <v>22360000</v>
      </c>
      <c r="C8" s="27" t="n">
        <f aca="false">C5*'Юнит-экономика'!$H$20</f>
        <v>39130000</v>
      </c>
      <c r="D8" s="27" t="n">
        <f aca="false">D5*'Юнит-экономика'!$H$20</f>
        <v>83850000</v>
      </c>
      <c r="E8" s="27" t="n">
        <f aca="false">E5*'Юнит-экономика'!$H$20</f>
        <v>55900000</v>
      </c>
      <c r="F8" s="27" t="n">
        <f aca="false">F5*'Юнит-экономика'!$H$20</f>
        <v>67080000</v>
      </c>
      <c r="G8" s="27" t="n">
        <f aca="false">G5*'Юнит-экономика'!$H$20</f>
        <v>72670000</v>
      </c>
      <c r="H8" s="27" t="n">
        <f aca="false">H5*'Юнит-экономика'!$H$20</f>
        <v>67080000</v>
      </c>
      <c r="I8" s="27" t="n">
        <f aca="false">I5*'Юнит-экономика'!$H$20</f>
        <v>78260000</v>
      </c>
      <c r="J8" s="27" t="n">
        <f aca="false">J5*'Юнит-экономика'!$H$20</f>
        <v>89440000</v>
      </c>
      <c r="K8" s="27" t="n">
        <f aca="false">K5*'Юнит-экономика'!$H$20</f>
        <v>100620000</v>
      </c>
      <c r="L8" s="27" t="n">
        <f aca="false">L5*'Юнит-экономика'!$H$20</f>
        <v>111800000</v>
      </c>
      <c r="M8" s="27" t="n">
        <f aca="false">M5*'Юнит-экономика'!$H$20</f>
        <v>145340000</v>
      </c>
      <c r="N8" s="25" t="n">
        <f aca="false">SUM(B8:M8)</f>
        <v>933530000</v>
      </c>
    </row>
    <row r="9" customFormat="false" ht="15" hidden="false" customHeight="false" outlineLevel="0" collapsed="false">
      <c r="A9" s="22" t="s">
        <v>205</v>
      </c>
      <c r="B9" s="27" t="n">
        <f aca="false">B5*'Юнит-экономика'!$H$18</f>
        <v>12562088.2</v>
      </c>
      <c r="C9" s="27" t="n">
        <f aca="false">C5*'Юнит-экономика'!$H$18</f>
        <v>21983654.35</v>
      </c>
      <c r="D9" s="27" t="n">
        <f aca="false">D5*'Юнит-экономика'!$H$18</f>
        <v>47107830.75</v>
      </c>
      <c r="E9" s="27" t="n">
        <f aca="false">E5*'Юнит-экономика'!$H$18</f>
        <v>31405220.5</v>
      </c>
      <c r="F9" s="27" t="n">
        <f aca="false">F5*'Юнит-экономика'!$H$18</f>
        <v>37686264.6</v>
      </c>
      <c r="G9" s="27" t="n">
        <f aca="false">G5*'Юнит-экономика'!$H$18</f>
        <v>40826786.65</v>
      </c>
      <c r="H9" s="27" t="n">
        <f aca="false">H5*'Юнит-экономика'!$H$18</f>
        <v>37686264.6</v>
      </c>
      <c r="I9" s="27" t="n">
        <f aca="false">I5*'Юнит-экономика'!$H$18</f>
        <v>43967308.7</v>
      </c>
      <c r="J9" s="27" t="n">
        <f aca="false">J5*'Юнит-экономика'!$H$18</f>
        <v>50248352.8</v>
      </c>
      <c r="K9" s="27" t="n">
        <f aca="false">K5*'Юнит-экономика'!$H$18</f>
        <v>56529396.9</v>
      </c>
      <c r="L9" s="27" t="n">
        <f aca="false">L5*'Юнит-экономика'!$H$18</f>
        <v>62810441</v>
      </c>
      <c r="M9" s="27" t="n">
        <f aca="false">M5*'Юнит-экономика'!$H$18</f>
        <v>81653573.3</v>
      </c>
      <c r="N9" s="25" t="n">
        <f aca="false">SUM(B9:M9)</f>
        <v>524467182.35</v>
      </c>
    </row>
    <row r="10" customFormat="false" ht="15" hidden="false" customHeight="false" outlineLevel="0" collapsed="false">
      <c r="A10" s="22" t="s">
        <v>206</v>
      </c>
      <c r="B10" s="27" t="n">
        <f aca="false">B5*'Юнит-экономика'!$H$27</f>
        <v>4543200</v>
      </c>
      <c r="C10" s="27" t="n">
        <f aca="false">C5*'Юнит-экономика'!$H$27</f>
        <v>7950600</v>
      </c>
      <c r="D10" s="27" t="n">
        <f aca="false">D5*'Юнит-экономика'!$H$27</f>
        <v>17037000</v>
      </c>
      <c r="E10" s="27" t="n">
        <f aca="false">E5*'Юнит-экономика'!$H$27</f>
        <v>11358000</v>
      </c>
      <c r="F10" s="27" t="n">
        <f aca="false">F5*'Юнит-экономика'!$H$27</f>
        <v>13629600</v>
      </c>
      <c r="G10" s="27" t="n">
        <f aca="false">G5*'Юнит-экономика'!$H$27</f>
        <v>14765400</v>
      </c>
      <c r="H10" s="27" t="n">
        <f aca="false">H5*'Юнит-экономика'!$H$27</f>
        <v>13629600</v>
      </c>
      <c r="I10" s="27" t="n">
        <f aca="false">I5*'Юнит-экономика'!$H$27</f>
        <v>15901200</v>
      </c>
      <c r="J10" s="27" t="n">
        <f aca="false">J5*'Юнит-экономика'!$H$27</f>
        <v>18172800</v>
      </c>
      <c r="K10" s="27" t="n">
        <f aca="false">K5*'Юнит-экономика'!$H$27</f>
        <v>20444400</v>
      </c>
      <c r="L10" s="27" t="n">
        <f aca="false">L5*'Юнит-экономика'!$H$27</f>
        <v>22716000</v>
      </c>
      <c r="M10" s="27" t="n">
        <f aca="false">M5*'Юнит-экономика'!$H$27</f>
        <v>29530800</v>
      </c>
      <c r="N10" s="25" t="n">
        <f aca="false">SUM(B10:M10)</f>
        <v>189678600</v>
      </c>
    </row>
    <row r="11" customFormat="false" ht="15" hidden="false" customHeight="false" outlineLevel="0" collapsed="false">
      <c r="A11" s="17" t="s">
        <v>207</v>
      </c>
      <c r="B11" s="25" t="n">
        <f aca="false">B8-B9-B10</f>
        <v>5254711.8</v>
      </c>
      <c r="C11" s="25" t="n">
        <f aca="false">C8-C9-C10</f>
        <v>9195745.65</v>
      </c>
      <c r="D11" s="25" t="n">
        <f aca="false">D8-D9-D10</f>
        <v>19705169.25</v>
      </c>
      <c r="E11" s="25" t="n">
        <f aca="false">E8-E9-E10</f>
        <v>13136779.5</v>
      </c>
      <c r="F11" s="25" t="n">
        <f aca="false">F8-F9-F10</f>
        <v>15764135.4</v>
      </c>
      <c r="G11" s="25" t="n">
        <f aca="false">G8-G9-G10</f>
        <v>17077813.35</v>
      </c>
      <c r="H11" s="25" t="n">
        <f aca="false">H8-H9-H10</f>
        <v>15764135.4</v>
      </c>
      <c r="I11" s="25" t="n">
        <f aca="false">I8-I9-I10</f>
        <v>18391491.3</v>
      </c>
      <c r="J11" s="25" t="n">
        <f aca="false">J8-J9-J10</f>
        <v>21018847.2</v>
      </c>
      <c r="K11" s="25" t="n">
        <f aca="false">K8-K9-K10</f>
        <v>23646203.1</v>
      </c>
      <c r="L11" s="25" t="n">
        <f aca="false">L8-L9-L10</f>
        <v>26273559</v>
      </c>
      <c r="M11" s="25" t="n">
        <f aca="false">M8-M9-M10</f>
        <v>34155626.7</v>
      </c>
      <c r="N11" s="25" t="n">
        <f aca="false">SUM(B11:M11)</f>
        <v>219384217.65</v>
      </c>
    </row>
    <row r="12" customFormat="false" ht="15" hidden="false" customHeight="false" outlineLevel="0" collapsed="false">
      <c r="A12" s="17" t="s">
        <v>208</v>
      </c>
      <c r="B12" s="18" t="n">
        <f aca="false">B11-B6</f>
        <v>-4745288.2</v>
      </c>
      <c r="C12" s="18" t="n">
        <f aca="false">C11-C6</f>
        <v>-804254.350000002</v>
      </c>
      <c r="D12" s="18" t="n">
        <f aca="false">D11-D6</f>
        <v>9705169.25</v>
      </c>
      <c r="E12" s="18" t="n">
        <f aca="false">E11-E6</f>
        <v>-863220.5</v>
      </c>
      <c r="F12" s="18" t="n">
        <f aca="false">F11-F6</f>
        <v>1764135.4</v>
      </c>
      <c r="G12" s="18" t="n">
        <f aca="false">G11-G6</f>
        <v>3077813.35</v>
      </c>
      <c r="H12" s="18" t="n">
        <f aca="false">H11-H6</f>
        <v>-1235864.6</v>
      </c>
      <c r="I12" s="18" t="n">
        <f aca="false">I11-I6</f>
        <v>1391491.3</v>
      </c>
      <c r="J12" s="18" t="n">
        <f aca="false">J11-J6</f>
        <v>4018847.2</v>
      </c>
      <c r="K12" s="18" t="n">
        <f aca="false">K11-K6</f>
        <v>6646203.09999999</v>
      </c>
      <c r="L12" s="18" t="n">
        <f aca="false">L11-L6</f>
        <v>9273559</v>
      </c>
      <c r="M12" s="18" t="n">
        <f aca="false">M11-M6</f>
        <v>17155626.7</v>
      </c>
      <c r="N12" s="18" t="n">
        <f aca="false">SUM(B12:M12)</f>
        <v>45384217.65</v>
      </c>
    </row>
    <row r="13" customFormat="false" ht="15" hidden="false" customHeight="false" outlineLevel="0" collapsed="false">
      <c r="A13" s="22" t="s">
        <v>209</v>
      </c>
      <c r="B13" s="27" t="n">
        <f aca="false">B12</f>
        <v>-4745288.2</v>
      </c>
      <c r="C13" s="27" t="n">
        <f aca="false">B13+C12</f>
        <v>-5549542.55</v>
      </c>
      <c r="D13" s="27" t="n">
        <f aca="false">C13+D12</f>
        <v>4155626.7</v>
      </c>
      <c r="E13" s="27" t="n">
        <f aca="false">D13+E12</f>
        <v>3292406.2</v>
      </c>
      <c r="F13" s="27" t="n">
        <f aca="false">E13+F12</f>
        <v>5056541.6</v>
      </c>
      <c r="G13" s="27" t="n">
        <f aca="false">F13+G12</f>
        <v>8134354.95</v>
      </c>
      <c r="H13" s="27" t="n">
        <f aca="false">G13+H12</f>
        <v>6898490.35</v>
      </c>
      <c r="I13" s="27" t="n">
        <f aca="false">H13+I12</f>
        <v>8289981.64999999</v>
      </c>
      <c r="J13" s="27" t="n">
        <f aca="false">I13+J12</f>
        <v>12308828.85</v>
      </c>
      <c r="K13" s="27" t="n">
        <f aca="false">J13+K12</f>
        <v>18955031.95</v>
      </c>
      <c r="L13" s="27" t="n">
        <f aca="false">K13+L12</f>
        <v>28228590.95</v>
      </c>
      <c r="M13" s="27" t="n">
        <f aca="false">L13+M12</f>
        <v>45384217.65</v>
      </c>
    </row>
    <row r="14" customFormat="false" ht="15" hidden="false" customHeight="false" outlineLevel="0" collapsed="false">
      <c r="A14" s="22" t="s">
        <v>210</v>
      </c>
      <c r="B14" s="27" t="n">
        <f aca="false">B8</f>
        <v>22360000</v>
      </c>
      <c r="C14" s="27" t="n">
        <f aca="false">B14+C8</f>
        <v>61490000</v>
      </c>
      <c r="D14" s="27" t="n">
        <f aca="false">C14+D8</f>
        <v>145340000</v>
      </c>
      <c r="E14" s="27" t="n">
        <f aca="false">D14+E8</f>
        <v>201240000</v>
      </c>
      <c r="F14" s="27" t="n">
        <f aca="false">E14+F8</f>
        <v>268320000</v>
      </c>
      <c r="G14" s="27" t="n">
        <f aca="false">F14+G8</f>
        <v>340990000</v>
      </c>
      <c r="H14" s="27" t="n">
        <f aca="false">G14+H8</f>
        <v>408070000</v>
      </c>
      <c r="I14" s="27" t="n">
        <f aca="false">H14+I8</f>
        <v>486330000</v>
      </c>
      <c r="J14" s="27" t="n">
        <f aca="false">I14+J8</f>
        <v>575770000</v>
      </c>
      <c r="K14" s="27" t="n">
        <f aca="false">J14+K8</f>
        <v>676390000</v>
      </c>
      <c r="L14" s="27" t="n">
        <f aca="false">K14+L8</f>
        <v>788190000</v>
      </c>
      <c r="M14" s="27" t="n">
        <f aca="false">L14+M8</f>
        <v>933530000</v>
      </c>
    </row>
    <row r="15" customFormat="false" ht="15" hidden="false" customHeight="false" outlineLevel="0" collapsed="false">
      <c r="A15" s="22" t="s">
        <v>211</v>
      </c>
      <c r="B15" s="27" t="n">
        <f aca="false">COUNTIF(B12:M12,"&gt;0")</f>
        <v>8</v>
      </c>
    </row>
    <row r="16" customFormat="false" ht="15" hidden="false" customHeight="false" outlineLevel="0" collapsed="false">
      <c r="A16" s="22" t="s">
        <v>212</v>
      </c>
      <c r="B16" s="17" t="str">
        <f aca="false">IF(N8&gt;1000000000,"Оборот превысит 1 млрд сум в "&amp;INDEX(B4:M4,COUNTIF(B14:M14,"&lt;=1000000000")+1)&amp;": с этого месяца ИП платит НДС 12% и налог на прибыль — прибыль в строке 12 завышена","Оборот за год до 1 млрд сум — налог с оборота 1% сохраняется")</f>
        <v>Оборот за год до 1 млрд сум — налог с оборота 1% сохраняется</v>
      </c>
    </row>
    <row r="18" customFormat="false" ht="15" hidden="false" customHeight="false" outlineLevel="0" collapsed="false">
      <c r="A18" s="7" t="s">
        <v>213</v>
      </c>
      <c r="B18" s="7" t="s">
        <v>129</v>
      </c>
    </row>
    <row r="19" customFormat="false" ht="15" hidden="false" customHeight="false" outlineLevel="0" collapsed="false">
      <c r="A19" s="22" t="s">
        <v>214</v>
      </c>
      <c r="B19" s="10" t="n">
        <v>6500000</v>
      </c>
    </row>
    <row r="20" customFormat="false" ht="15" hidden="false" customHeight="false" outlineLevel="0" collapsed="false">
      <c r="A20" s="22" t="s">
        <v>215</v>
      </c>
      <c r="B20" s="10" t="n">
        <v>6000000</v>
      </c>
    </row>
    <row r="21" customFormat="false" ht="15" hidden="false" customHeight="false" outlineLevel="0" collapsed="false">
      <c r="A21" s="22" t="s">
        <v>216</v>
      </c>
      <c r="B21" s="10" t="n">
        <v>6000000</v>
      </c>
    </row>
    <row r="22" customFormat="false" ht="15" hidden="false" customHeight="false" outlineLevel="0" collapsed="false">
      <c r="A22" s="22" t="s">
        <v>217</v>
      </c>
      <c r="B22" s="10" t="n">
        <v>4000000</v>
      </c>
    </row>
    <row r="23" customFormat="false" ht="15" hidden="false" customHeight="false" outlineLevel="0" collapsed="false">
      <c r="A23" s="22" t="s">
        <v>218</v>
      </c>
      <c r="B23" s="10" t="n">
        <v>18000000</v>
      </c>
    </row>
    <row r="24" customFormat="false" ht="15" hidden="false" customHeight="false" outlineLevel="0" collapsed="false">
      <c r="A24" s="22" t="s">
        <v>219</v>
      </c>
      <c r="B24" s="10" t="n">
        <v>10000000</v>
      </c>
    </row>
    <row r="25" customFormat="false" ht="15" hidden="false" customHeight="false" outlineLevel="0" collapsed="false">
      <c r="A25" s="17" t="s">
        <v>220</v>
      </c>
      <c r="B25" s="25" t="n">
        <f aca="false">SUM(B19:B24)</f>
        <v>50500000</v>
      </c>
    </row>
    <row r="26" customFormat="false" ht="15" hidden="false" customHeight="false" outlineLevel="0" collapsed="false">
      <c r="A26" s="22" t="s">
        <v>221</v>
      </c>
      <c r="B26" s="10" t="n">
        <v>200</v>
      </c>
    </row>
    <row r="27" customFormat="false" ht="23.85" hidden="false" customHeight="false" outlineLevel="0" collapsed="false">
      <c r="A27" s="22" t="s">
        <v>222</v>
      </c>
      <c r="B27" s="27" t="n">
        <f aca="false">B26*'Юнит-экономика'!$H$18</f>
        <v>62810441</v>
      </c>
      <c r="C27" s="24" t="s">
        <v>223</v>
      </c>
    </row>
    <row r="28" customFormat="false" ht="15" hidden="false" customHeight="false" outlineLevel="0" collapsed="false">
      <c r="A28" s="17" t="s">
        <v>224</v>
      </c>
      <c r="B28" s="18" t="n">
        <f aca="false">B25+B27</f>
        <v>113310441</v>
      </c>
    </row>
    <row r="30" customFormat="false" ht="15" hidden="false" customHeight="false" outlineLevel="0" collapsed="false">
      <c r="A30" s="17" t="s">
        <v>225</v>
      </c>
      <c r="B30" s="25" t="n">
        <f aca="false">B13-$B$25</f>
        <v>-55245288.2</v>
      </c>
      <c r="C30" s="25" t="n">
        <f aca="false">C13-$B$25</f>
        <v>-56049542.55</v>
      </c>
      <c r="D30" s="25" t="n">
        <f aca="false">D13-$B$25</f>
        <v>-46344373.3</v>
      </c>
      <c r="E30" s="25" t="n">
        <f aca="false">E13-$B$25</f>
        <v>-47207593.8</v>
      </c>
      <c r="F30" s="25" t="n">
        <f aca="false">F13-$B$25</f>
        <v>-45443458.4</v>
      </c>
      <c r="G30" s="25" t="n">
        <f aca="false">G13-$B$25</f>
        <v>-42365645.05</v>
      </c>
      <c r="H30" s="25" t="n">
        <f aca="false">H13-$B$25</f>
        <v>-43601509.65</v>
      </c>
      <c r="I30" s="25" t="n">
        <f aca="false">I13-$B$25</f>
        <v>-42210018.35</v>
      </c>
      <c r="J30" s="25" t="n">
        <f aca="false">J13-$B$25</f>
        <v>-38191171.15</v>
      </c>
      <c r="K30" s="25" t="n">
        <f aca="false">K13-$B$25</f>
        <v>-31544968.05</v>
      </c>
      <c r="L30" s="25" t="n">
        <f aca="false">L13-$B$25</f>
        <v>-22271409.05</v>
      </c>
      <c r="M30" s="25" t="n">
        <f aca="false">M13-$B$25</f>
        <v>-5115782.35000002</v>
      </c>
    </row>
    <row r="31" customFormat="false" ht="15" hidden="true" customHeight="false" outlineLevel="0" collapsed="false">
      <c r="A31" s="43" t="s">
        <v>226</v>
      </c>
      <c r="B31" s="44" t="n">
        <f aca="false">IF(MIN(B30:$M$30)&gt;=0,1,99)</f>
        <v>99</v>
      </c>
      <c r="C31" s="44" t="n">
        <f aca="false">IF(MIN(C30:$M$30)&gt;=0,2,99)</f>
        <v>99</v>
      </c>
      <c r="D31" s="44" t="n">
        <f aca="false">IF(MIN(D30:$M$30)&gt;=0,3,99)</f>
        <v>99</v>
      </c>
      <c r="E31" s="44" t="n">
        <f aca="false">IF(MIN(E30:$M$30)&gt;=0,4,99)</f>
        <v>99</v>
      </c>
      <c r="F31" s="44" t="n">
        <f aca="false">IF(MIN(F30:$M$30)&gt;=0,5,99)</f>
        <v>99</v>
      </c>
      <c r="G31" s="44" t="n">
        <f aca="false">IF(MIN(G30:$M$30)&gt;=0,6,99)</f>
        <v>99</v>
      </c>
      <c r="H31" s="44" t="n">
        <f aca="false">IF(MIN(H30:$M$30)&gt;=0,7,99)</f>
        <v>99</v>
      </c>
      <c r="I31" s="44" t="n">
        <f aca="false">IF(MIN(I30:$M$30)&gt;=0,8,99)</f>
        <v>99</v>
      </c>
      <c r="J31" s="44" t="n">
        <f aca="false">IF(MIN(J30:$M$30)&gt;=0,9,99)</f>
        <v>99</v>
      </c>
      <c r="K31" s="44" t="n">
        <f aca="false">IF(MIN(K30:$M$30)&gt;=0,10,99)</f>
        <v>99</v>
      </c>
      <c r="L31" s="44" t="n">
        <f aca="false">IF(MIN(L30:$M$30)&gt;=0,11,99)</f>
        <v>99</v>
      </c>
      <c r="M31" s="44" t="n">
        <f aca="false">IF(MIN(M30:$M$30)&gt;=0,12,99)</f>
        <v>99</v>
      </c>
    </row>
    <row r="32" customFormat="false" ht="15" hidden="false" customHeight="false" outlineLevel="0" collapsed="false">
      <c r="A32" s="17" t="s">
        <v>227</v>
      </c>
      <c r="B32" s="45" t="str">
        <f aca="false">IF(MIN(B31:M31)=99,IF(M12&lt;=0,"не окупается: в декабре убыток","позже 12 месяцев"),INDEX(B4:M4,MIN(B31:M31)))</f>
        <v>позже 12 месяцев</v>
      </c>
    </row>
    <row r="33" customFormat="false" ht="23.85" hidden="false" customHeight="false" outlineLevel="0" collapsed="false">
      <c r="A33" s="24" t="s">
        <v>228</v>
      </c>
    </row>
    <row r="35" customFormat="false" ht="15" hidden="false" customHeight="false" outlineLevel="0" collapsed="false">
      <c r="A35" s="7" t="s">
        <v>229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</row>
    <row r="36" customFormat="false" ht="113.4" hidden="false" customHeight="false" outlineLevel="0" collapsed="false">
      <c r="A36" s="22" t="s">
        <v>230</v>
      </c>
      <c r="B36" s="46" t="n">
        <v>1.3</v>
      </c>
      <c r="C36" s="24" t="s">
        <v>231</v>
      </c>
    </row>
    <row r="37" customFormat="false" ht="15" hidden="false" customHeight="false" outlineLevel="0" collapsed="false">
      <c r="A37" s="22" t="s">
        <v>232</v>
      </c>
      <c r="B37" s="27" t="n">
        <f aca="false">MAX(0,ROUND(C5*$B$36,0)-($B$26-B5))</f>
        <v>0</v>
      </c>
      <c r="C37" s="27" t="n">
        <f aca="false">MAX(0,ROUND(D5*$B$36,0)-(B38-C5))</f>
        <v>105</v>
      </c>
      <c r="D37" s="27" t="n">
        <f aca="false">MAX(0,ROUND(E5*$B$36,0)-(C38-D5))</f>
        <v>85</v>
      </c>
      <c r="E37" s="27" t="n">
        <f aca="false">MAX(0,ROUND(F5*$B$36,0)-(D38-E5))</f>
        <v>126</v>
      </c>
      <c r="F37" s="27" t="n">
        <f aca="false">MAX(0,ROUND(G5*$B$36,0)-(E38-F5))</f>
        <v>133</v>
      </c>
      <c r="G37" s="27" t="n">
        <f aca="false">MAX(0,ROUND(H5*$B$36,0)-(F38-G5))</f>
        <v>117</v>
      </c>
      <c r="H37" s="27" t="n">
        <f aca="false">MAX(0,ROUND(I5*$B$36,0)-(G38-H5))</f>
        <v>146</v>
      </c>
      <c r="I37" s="27" t="n">
        <f aca="false">MAX(0,ROUND(J5*$B$36,0)-(H38-I5))</f>
        <v>166</v>
      </c>
      <c r="J37" s="27" t="n">
        <f aca="false">MAX(0,ROUND(K5*$B$36,0)-(I38-J5))</f>
        <v>186</v>
      </c>
      <c r="K37" s="27" t="n">
        <f aca="false">MAX(0,ROUND(L5*$B$36,0)-(J38-K5))</f>
        <v>206</v>
      </c>
      <c r="L37" s="27" t="n">
        <f aca="false">MAX(0,ROUND(M5*$B$36,0)-(K38-L5))</f>
        <v>278</v>
      </c>
      <c r="M37" s="27" t="n">
        <f aca="false">MAX(0,ROUND(M5*$B$36,0)-(L38-M5))</f>
        <v>260</v>
      </c>
      <c r="N37" s="25" t="n">
        <f aca="false">SUM(B37:M37)</f>
        <v>1808</v>
      </c>
    </row>
    <row r="38" customFormat="false" ht="15" hidden="false" customHeight="false" outlineLevel="0" collapsed="false">
      <c r="A38" s="22" t="s">
        <v>233</v>
      </c>
      <c r="B38" s="27" t="n">
        <f aca="false">$B$26-B5+B37</f>
        <v>160</v>
      </c>
      <c r="C38" s="27" t="n">
        <f aca="false">B38-C5+C37</f>
        <v>195</v>
      </c>
      <c r="D38" s="27" t="n">
        <f aca="false">C38-D5+D37</f>
        <v>130</v>
      </c>
      <c r="E38" s="27" t="n">
        <f aca="false">D38-E5+E37</f>
        <v>156</v>
      </c>
      <c r="F38" s="27" t="n">
        <f aca="false">E38-F5+F37</f>
        <v>169</v>
      </c>
      <c r="G38" s="27" t="n">
        <f aca="false">F38-G5+G37</f>
        <v>156</v>
      </c>
      <c r="H38" s="27" t="n">
        <f aca="false">G38-H5+H37</f>
        <v>182</v>
      </c>
      <c r="I38" s="27" t="n">
        <f aca="false">H38-I5+I37</f>
        <v>208</v>
      </c>
      <c r="J38" s="27" t="n">
        <f aca="false">I38-J5+J37</f>
        <v>234</v>
      </c>
      <c r="K38" s="27" t="n">
        <f aca="false">J38-K5+K37</f>
        <v>260</v>
      </c>
      <c r="L38" s="27" t="n">
        <f aca="false">K38-L5+L37</f>
        <v>338</v>
      </c>
      <c r="M38" s="27" t="n">
        <f aca="false">L38-M5+M37</f>
        <v>338</v>
      </c>
    </row>
    <row r="39" customFormat="false" ht="15" hidden="false" customHeight="false" outlineLevel="0" collapsed="false">
      <c r="A39" s="22" t="s">
        <v>234</v>
      </c>
      <c r="B39" s="27" t="n">
        <f aca="false">B37*'Юнит-экономика'!$H$18</f>
        <v>0</v>
      </c>
      <c r="C39" s="27" t="n">
        <f aca="false">C37*'Юнит-экономика'!$H$18</f>
        <v>32975481.525</v>
      </c>
      <c r="D39" s="27" t="n">
        <f aca="false">D37*'Юнит-экономика'!$H$18</f>
        <v>26694437.425</v>
      </c>
      <c r="E39" s="27" t="n">
        <f aca="false">E37*'Юнит-экономика'!$H$18</f>
        <v>39570577.83</v>
      </c>
      <c r="F39" s="27" t="n">
        <f aca="false">F37*'Юнит-экономика'!$H$18</f>
        <v>41768943.265</v>
      </c>
      <c r="G39" s="27" t="n">
        <f aca="false">G37*'Юнит-экономика'!$H$18</f>
        <v>36744107.985</v>
      </c>
      <c r="H39" s="27" t="n">
        <f aca="false">H37*'Юнит-экономика'!$H$18</f>
        <v>45851621.93</v>
      </c>
      <c r="I39" s="27" t="n">
        <f aca="false">I37*'Юнит-экономика'!$H$18</f>
        <v>52132666.03</v>
      </c>
      <c r="J39" s="27" t="n">
        <f aca="false">J37*'Юнит-экономика'!$H$18</f>
        <v>58413710.13</v>
      </c>
      <c r="K39" s="27" t="n">
        <f aca="false">K37*'Юнит-экономика'!$H$18</f>
        <v>64694754.23</v>
      </c>
      <c r="L39" s="27" t="n">
        <f aca="false">L37*'Юнит-экономика'!$H$18</f>
        <v>87306512.99</v>
      </c>
      <c r="M39" s="27" t="n">
        <f aca="false">M37*'Юнит-экономика'!$H$18</f>
        <v>81653573.3</v>
      </c>
      <c r="N39" s="25" t="n">
        <f aca="false">SUM(B39:M39)</f>
        <v>567806386.64</v>
      </c>
    </row>
    <row r="40" customFormat="false" ht="15" hidden="false" customHeight="false" outlineLevel="0" collapsed="false">
      <c r="A40" s="22" t="s">
        <v>235</v>
      </c>
      <c r="B40" s="27" t="n">
        <f aca="false">B8-B10-B6-B39</f>
        <v>7816800</v>
      </c>
      <c r="C40" s="27" t="n">
        <f aca="false">C8-C10-C6-C39</f>
        <v>-11796081.525</v>
      </c>
      <c r="D40" s="27" t="n">
        <f aca="false">D8-D10-D6-D39</f>
        <v>30118562.575</v>
      </c>
      <c r="E40" s="27" t="n">
        <f aca="false">E8-E10-E6-E39</f>
        <v>-9028577.83000001</v>
      </c>
      <c r="F40" s="27" t="n">
        <f aca="false">F8-F10-F6-F39</f>
        <v>-2318543.265</v>
      </c>
      <c r="G40" s="27" t="n">
        <f aca="false">G8-G10-G6-G39</f>
        <v>7160492.015</v>
      </c>
      <c r="H40" s="27" t="n">
        <f aca="false">H8-H10-H6-H39</f>
        <v>-9401221.93</v>
      </c>
      <c r="I40" s="27" t="n">
        <f aca="false">I8-I10-I6-I39</f>
        <v>-6773866.03</v>
      </c>
      <c r="J40" s="27" t="n">
        <f aca="false">J8-J10-J6-J39</f>
        <v>-4146510.13</v>
      </c>
      <c r="K40" s="27" t="n">
        <f aca="false">K8-K10-K6-K39</f>
        <v>-1519154.23</v>
      </c>
      <c r="L40" s="27" t="n">
        <f aca="false">L8-L10-L6-L39</f>
        <v>-15222512.99</v>
      </c>
      <c r="M40" s="27" t="n">
        <f aca="false">M8-M10-M6-M39</f>
        <v>17155626.7</v>
      </c>
      <c r="N40" s="25" t="n">
        <f aca="false">SUM(B40:M40)</f>
        <v>2045013.35999998</v>
      </c>
    </row>
    <row r="41" customFormat="false" ht="15" hidden="false" customHeight="false" outlineLevel="0" collapsed="false">
      <c r="A41" s="17" t="s">
        <v>236</v>
      </c>
      <c r="B41" s="25" t="n">
        <f aca="false">-$B$28+B40</f>
        <v>-105493641</v>
      </c>
      <c r="C41" s="25" t="n">
        <f aca="false">B41+C40</f>
        <v>-117289722.525</v>
      </c>
      <c r="D41" s="25" t="n">
        <f aca="false">C41+D40</f>
        <v>-87171159.95</v>
      </c>
      <c r="E41" s="25" t="n">
        <f aca="false">D41+E40</f>
        <v>-96199737.78</v>
      </c>
      <c r="F41" s="25" t="n">
        <f aca="false">E41+F40</f>
        <v>-98518281.045</v>
      </c>
      <c r="G41" s="25" t="n">
        <f aca="false">F41+G40</f>
        <v>-91357789.03</v>
      </c>
      <c r="H41" s="25" t="n">
        <f aca="false">G41+H40</f>
        <v>-100759010.96</v>
      </c>
      <c r="I41" s="25" t="n">
        <f aca="false">H41+I40</f>
        <v>-107532876.99</v>
      </c>
      <c r="J41" s="25" t="n">
        <f aca="false">I41+J40</f>
        <v>-111679387.12</v>
      </c>
      <c r="K41" s="25" t="n">
        <f aca="false">J41+K40</f>
        <v>-113198541.35</v>
      </c>
      <c r="L41" s="25" t="n">
        <f aca="false">K41+L40</f>
        <v>-128421054.34</v>
      </c>
      <c r="M41" s="25" t="n">
        <f aca="false">L41+M40</f>
        <v>-111265427.64</v>
      </c>
    </row>
    <row r="43" customFormat="false" ht="15" hidden="false" customHeight="false" outlineLevel="0" collapsed="false">
      <c r="A43" s="17" t="s">
        <v>237</v>
      </c>
      <c r="B43" s="18" t="n">
        <f aca="false">MAX($B$28,-MIN(B41:M41))</f>
        <v>128421054.34</v>
      </c>
    </row>
    <row r="44" customFormat="false" ht="15" hidden="false" customHeight="false" outlineLevel="0" collapsed="false">
      <c r="A44" s="17" t="s">
        <v>238</v>
      </c>
      <c r="B44" s="18" t="n">
        <f aca="false">B43*1.1</f>
        <v>141263159.774</v>
      </c>
    </row>
    <row r="45" customFormat="false" ht="46.25" hidden="false" customHeight="false" outlineLevel="0" collapsed="false">
      <c r="A45" s="22" t="s">
        <v>239</v>
      </c>
      <c r="B45" s="27" t="n">
        <f aca="false">M38*'Юнит-экономика'!$H$18</f>
        <v>106149645.29</v>
      </c>
      <c r="C45" s="24" t="s">
        <v>240</v>
      </c>
    </row>
  </sheetData>
  <conditionalFormatting sqref="B12:N13">
    <cfRule type="expression" priority="2" aboveAverage="0" equalAverage="0" bottom="0" percent="0" rank="0" text="" dxfId="1">
      <formula>B12&lt;0</formula>
    </cfRule>
  </conditionalFormatting>
  <conditionalFormatting sqref="B16">
    <cfRule type="expression" priority="3" aboveAverage="0" equalAverage="0" bottom="0" percent="0" rank="0" text="" dxfId="0">
      <formula>$N$8&gt;1000000000</formula>
    </cfRule>
  </conditionalFormatting>
  <conditionalFormatting sqref="B30:M30">
    <cfRule type="expression" priority="4" aboveAverage="0" equalAverage="0" bottom="0" percent="0" rank="0" text="" dxfId="0">
      <formula>B30&lt;0</formula>
    </cfRule>
  </conditionalFormatting>
  <conditionalFormatting sqref="B40:N41">
    <cfRule type="expression" priority="5" aboveAverage="0" equalAverage="0" bottom="0" percent="0" rank="0" text="" dxfId="1">
      <formula>B40&lt;0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1" min="2" style="0" width="11"/>
  </cols>
  <sheetData>
    <row r="1" customFormat="false" ht="17.35" hidden="false" customHeight="false" outlineLevel="0" collapsed="false">
      <c r="A1" s="1" t="s">
        <v>241</v>
      </c>
    </row>
    <row r="2" customFormat="false" ht="15" hidden="false" customHeight="false" outlineLevel="0" collapsed="false">
      <c r="A2" s="2" t="s">
        <v>242</v>
      </c>
    </row>
    <row r="3" customFormat="false" ht="15" hidden="false" customHeight="false" outlineLevel="0" collapsed="false">
      <c r="A3" s="40" t="str">
        <f aca="false">IF('Юнит-экономика'!$H$8=0,"Внимание: на листе «Юнит-экономика» не заданы доли продаж моделей (строка 8)","")</f>
        <v/>
      </c>
    </row>
    <row r="4" customFormat="false" ht="15" hidden="false" customHeight="false" outlineLevel="0" collapsed="false">
      <c r="A4" s="16" t="s">
        <v>243</v>
      </c>
      <c r="B4" s="36" t="n">
        <f aca="false">'Юнит-экономика'!$H$20</f>
        <v>559000</v>
      </c>
    </row>
    <row r="5" customFormat="false" ht="15" hidden="false" customHeight="false" outlineLevel="0" collapsed="false">
      <c r="A5" s="16" t="s">
        <v>244</v>
      </c>
      <c r="B5" s="36" t="n">
        <f aca="false">'Юнит-экономика'!$H$18</f>
        <v>314052.205</v>
      </c>
    </row>
    <row r="6" customFormat="false" ht="15" hidden="false" customHeight="false" outlineLevel="0" collapsed="false">
      <c r="A6" s="16" t="s">
        <v>245</v>
      </c>
      <c r="B6" s="36" t="n">
        <f aca="false">'Юнит-экономика'!$H$21+'Юнит-экономика'!$H$22</f>
        <v>32400</v>
      </c>
    </row>
    <row r="7" customFormat="false" ht="15" hidden="false" customHeight="false" outlineLevel="0" collapsed="false">
      <c r="A7" s="16" t="s">
        <v>246</v>
      </c>
      <c r="B7" s="47" t="n">
        <f aca="false">IFERROR(('Юнит-экономика'!$H$23+'Юнит-экономика'!$H$24+'Юнит-экономика'!$H$25)/'Юнит-экономика'!$H$20,0)</f>
        <v>0.02</v>
      </c>
    </row>
    <row r="8" customFormat="false" ht="15" hidden="false" customHeight="false" outlineLevel="0" collapsed="false">
      <c r="A8" s="16" t="s">
        <v>177</v>
      </c>
      <c r="B8" s="36" t="n">
        <f aca="false">Допущения!$B$41</f>
        <v>17000000</v>
      </c>
    </row>
    <row r="10" customFormat="false" ht="15" hidden="false" customHeight="false" outlineLevel="0" collapsed="false">
      <c r="A10" s="6" t="s">
        <v>247</v>
      </c>
      <c r="B10" s="48" t="n">
        <v>-0.2</v>
      </c>
      <c r="C10" s="48" t="n">
        <v>-0.15</v>
      </c>
      <c r="D10" s="48" t="n">
        <v>-0.1</v>
      </c>
      <c r="E10" s="48" t="n">
        <v>-0.05</v>
      </c>
      <c r="F10" s="48" t="n">
        <v>0</v>
      </c>
      <c r="G10" s="48" t="n">
        <v>0.05</v>
      </c>
      <c r="H10" s="48" t="n">
        <v>0.1</v>
      </c>
      <c r="I10" s="48" t="n">
        <v>0.15</v>
      </c>
      <c r="J10" s="48" t="n">
        <v>0.2</v>
      </c>
    </row>
    <row r="11" customFormat="false" ht="15" hidden="false" customHeight="false" outlineLevel="0" collapsed="false">
      <c r="A11" s="27" t="n">
        <f aca="false">MAX(0,$A$14-30000)</f>
        <v>40000</v>
      </c>
      <c r="B11" s="49" t="n">
        <f aca="false">IF(ROUND(($B$4*(1+B$10)*(1-$B$7)-$B$5-$B$6-$A11),0)&lt;=0,"убыток",$B$8/($B$4*(1+B$10)*(1-$B$7)-$B$5-$B$6-$A11))</f>
        <v>328.161286253256</v>
      </c>
      <c r="C11" s="49" t="n">
        <f aca="false">IF(ROUND(($B$4*(1+C$10)*(1-$B$7)-$B$5-$B$6-$A11),0)&lt;=0,"убыток",$B$8/($B$4*(1+C$10)*(1-$B$7)-$B$5-$B$6-$A11))</f>
        <v>214.660572074213</v>
      </c>
      <c r="D11" s="49" t="n">
        <f aca="false">IF(ROUND(($B$4*(1+D$10)*(1-$B$7)-$B$5-$B$6-$A11),0)&lt;=0,"убыток",$B$8/($B$4*(1+D$10)*(1-$B$7)-$B$5-$B$6-$A11))</f>
        <v>159.495925324758</v>
      </c>
      <c r="E11" s="49" t="n">
        <f aca="false">IF(ROUND(($B$4*(1+E$10)*(1-$B$7)-$B$5-$B$6-$A11),0)&lt;=0,"убыток",$B$8/($B$4*(1+E$10)*(1-$B$7)-$B$5-$B$6-$A11))</f>
        <v>126.887644983596</v>
      </c>
      <c r="F11" s="49" t="n">
        <f aca="false">IF(ROUND(($B$4*(1+F$10)*(1-$B$7)-$B$5-$B$6-$A11),0)&lt;=0,"убыток",$B$8/($B$4*(1+F$10)*(1-$B$7)-$B$5-$B$6-$A11))</f>
        <v>105.349397629186</v>
      </c>
      <c r="G11" s="49" t="n">
        <f aca="false">IF(ROUND(($B$4*(1+G$10)*(1-$B$7)-$B$5-$B$6-$A11),0)&lt;=0,"убыток",$B$8/($B$4*(1+G$10)*(1-$B$7)-$B$5-$B$6-$A11))</f>
        <v>90.062028632891</v>
      </c>
      <c r="H11" s="49" t="n">
        <f aca="false">IF(ROUND(($B$4*(1+H$10)*(1-$B$7)-$B$5-$B$6-$A11),0)&lt;=0,"убыток",$B$8/($B$4*(1+H$10)*(1-$B$7)-$B$5-$B$6-$A11))</f>
        <v>78.6491608747536</v>
      </c>
      <c r="I11" s="49" t="n">
        <f aca="false">IF(ROUND(($B$4*(1+I$10)*(1-$B$7)-$B$5-$B$6-$A11),0)&lt;=0,"убыток",$B$8/($B$4*(1+I$10)*(1-$B$7)-$B$5-$B$6-$A11))</f>
        <v>69.8035004771993</v>
      </c>
      <c r="J11" s="49" t="n">
        <f aca="false">IF(ROUND(($B$4*(1+J$10)*(1-$B$7)-$B$5-$B$6-$A11),0)&lt;=0,"убыток",$B$8/($B$4*(1+J$10)*(1-$B$7)-$B$5-$B$6-$A11))</f>
        <v>62.7464192602422</v>
      </c>
    </row>
    <row r="12" customFormat="false" ht="15" hidden="false" customHeight="false" outlineLevel="0" collapsed="false">
      <c r="A12" s="27" t="n">
        <f aca="false">MAX(0,$A$14-20000)</f>
        <v>50000</v>
      </c>
      <c r="B12" s="49" t="n">
        <f aca="false">IF(ROUND(($B$4*(1+B$10)*(1-$B$7)-$B$5-$B$6-$A12),0)&lt;=0,"убыток",$B$8/($B$4*(1+B$10)*(1-$B$7)-$B$5-$B$6-$A12))</f>
        <v>406.661643996676</v>
      </c>
      <c r="C12" s="49" t="n">
        <f aca="false">IF(ROUND(($B$4*(1+C$10)*(1-$B$7)-$B$5-$B$6-$A12),0)&lt;=0,"убыток",$B$8/($B$4*(1+C$10)*(1-$B$7)-$B$5-$B$6-$A12))</f>
        <v>245.68321938088</v>
      </c>
      <c r="D12" s="49" t="n">
        <f aca="false">IF(ROUND(($B$4*(1+D$10)*(1-$B$7)-$B$5-$B$6-$A12),0)&lt;=0,"убыток",$B$8/($B$4*(1+D$10)*(1-$B$7)-$B$5-$B$6-$A12))</f>
        <v>176.009318968695</v>
      </c>
      <c r="E12" s="49" t="n">
        <f aca="false">IF(ROUND(($B$4*(1+E$10)*(1-$B$7)-$B$5-$B$6-$A12),0)&lt;=0,"убыток",$B$8/($B$4*(1+E$10)*(1-$B$7)-$B$5-$B$6-$A12))</f>
        <v>137.122434887916</v>
      </c>
      <c r="F12" s="49" t="n">
        <f aca="false">IF(ROUND(($B$4*(1+F$10)*(1-$B$7)-$B$5-$B$6-$A12),0)&lt;=0,"убыток",$B$8/($B$4*(1+F$10)*(1-$B$7)-$B$5-$B$6-$A12))</f>
        <v>112.309226675331</v>
      </c>
      <c r="G12" s="49" t="n">
        <f aca="false">IF(ROUND(($B$4*(1+G$10)*(1-$B$7)-$B$5-$B$6-$A12),0)&lt;=0,"убыток",$B$8/($B$4*(1+G$10)*(1-$B$7)-$B$5-$B$6-$A12))</f>
        <v>95.1002159082578</v>
      </c>
      <c r="H12" s="49" t="n">
        <f aca="false">IF(ROUND(($B$4*(1+H$10)*(1-$B$7)-$B$5-$B$6-$A12),0)&lt;=0,"убыток",$B$8/($B$4*(1+H$10)*(1-$B$7)-$B$5-$B$6-$A12))</f>
        <v>82.4643070831092</v>
      </c>
      <c r="I12" s="49" t="n">
        <f aca="false">IF(ROUND(($B$4*(1+I$10)*(1-$B$7)-$B$5-$B$6-$A12),0)&lt;=0,"убыток",$B$8/($B$4*(1+I$10)*(1-$B$7)-$B$5-$B$6-$A12))</f>
        <v>72.7924215553004</v>
      </c>
      <c r="J12" s="49" t="n">
        <f aca="false">IF(ROUND(($B$4*(1+J$10)*(1-$B$7)-$B$5-$B$6-$A12),0)&lt;=0,"убыток",$B$8/($B$4*(1+J$10)*(1-$B$7)-$B$5-$B$6-$A12))</f>
        <v>65.1511250286689</v>
      </c>
    </row>
    <row r="13" customFormat="false" ht="15" hidden="false" customHeight="false" outlineLevel="0" collapsed="false">
      <c r="A13" s="27" t="n">
        <f aca="false">MAX(0,$A$14-10000)</f>
        <v>60000</v>
      </c>
      <c r="B13" s="49" t="n">
        <f aca="false">IF(ROUND(($B$4*(1+B$10)*(1-$B$7)-$B$5-$B$6-$A13),0)&lt;=0,"убыток",$B$8/($B$4*(1+B$10)*(1-$B$7)-$B$5-$B$6-$A13))</f>
        <v>534.527404669789</v>
      </c>
      <c r="C13" s="49" t="n">
        <f aca="false">IF(ROUND(($B$4*(1+C$10)*(1-$B$7)-$B$5-$B$6-$A13),0)&lt;=0,"убыток",$B$8/($B$4*(1+C$10)*(1-$B$7)-$B$5-$B$6-$A13))</f>
        <v>287.18741233921</v>
      </c>
      <c r="D13" s="49" t="n">
        <f aca="false">IF(ROUND(($B$4*(1+D$10)*(1-$B$7)-$B$5-$B$6-$A13),0)&lt;=0,"убыток",$B$8/($B$4*(1+D$10)*(1-$B$7)-$B$5-$B$6-$A13))</f>
        <v>196.337055056202</v>
      </c>
      <c r="E13" s="49" t="n">
        <f aca="false">IF(ROUND(($B$4*(1+E$10)*(1-$B$7)-$B$5-$B$6-$A13),0)&lt;=0,"убыток",$B$8/($B$4*(1+E$10)*(1-$B$7)-$B$5-$B$6-$A13))</f>
        <v>149.153167537304</v>
      </c>
      <c r="F13" s="49" t="n">
        <f aca="false">IF(ROUND(($B$4*(1+F$10)*(1-$B$7)-$B$5-$B$6-$A13),0)&lt;=0,"убыток",$B$8/($B$4*(1+F$10)*(1-$B$7)-$B$5-$B$6-$A13))</f>
        <v>120.253697102653</v>
      </c>
      <c r="G13" s="49" t="n">
        <f aca="false">IF(ROUND(($B$4*(1+G$10)*(1-$B$7)-$B$5-$B$6-$A13),0)&lt;=0,"убыток",$B$8/($B$4*(1+G$10)*(1-$B$7)-$B$5-$B$6-$A13))</f>
        <v>100.735490556211</v>
      </c>
      <c r="H13" s="49" t="n">
        <f aca="false">IF(ROUND(($B$4*(1+H$10)*(1-$B$7)-$B$5-$B$6-$A13),0)&lt;=0,"убыток",$B$8/($B$4*(1+H$10)*(1-$B$7)-$B$5-$B$6-$A13))</f>
        <v>86.6684566252032</v>
      </c>
      <c r="I13" s="49" t="n">
        <f aca="false">IF(ROUND(($B$4*(1+I$10)*(1-$B$7)-$B$5-$B$6-$A13),0)&lt;=0,"убыток",$B$8/($B$4*(1+I$10)*(1-$B$7)-$B$5-$B$6-$A13))</f>
        <v>76.0487587959057</v>
      </c>
      <c r="J13" s="49" t="n">
        <f aca="false">IF(ROUND(($B$4*(1+J$10)*(1-$B$7)-$B$5-$B$6-$A13),0)&lt;=0,"убыток",$B$8/($B$4*(1+J$10)*(1-$B$7)-$B$5-$B$6-$A13))</f>
        <v>67.7474928994152</v>
      </c>
    </row>
    <row r="14" customFormat="false" ht="15" hidden="false" customHeight="false" outlineLevel="0" collapsed="false">
      <c r="A14" s="50" t="n">
        <f aca="false">'Юнит-экономика'!$H$26</f>
        <v>70000</v>
      </c>
      <c r="B14" s="49" t="n">
        <f aca="false">IF(ROUND(($B$4*(1+B$10)*(1-$B$7)-$B$5-$B$6-$A14),0)&lt;=0,"убыток",$B$8/($B$4*(1+B$10)*(1-$B$7)-$B$5-$B$6-$A14))</f>
        <v>779.680784927579</v>
      </c>
      <c r="C14" s="49" t="n">
        <f aca="false">IF(ROUND(($B$4*(1+C$10)*(1-$B$7)-$B$5-$B$6-$A14),0)&lt;=0,"убыток",$B$8/($B$4*(1+C$10)*(1-$B$7)-$B$5-$B$6-$A14))</f>
        <v>345.56501353446</v>
      </c>
      <c r="D14" s="49" t="n">
        <f aca="false">IF(ROUND(($B$4*(1+D$10)*(1-$B$7)-$B$5-$B$6-$A14),0)&lt;=0,"убыток",$B$8/($B$4*(1+D$10)*(1-$B$7)-$B$5-$B$6-$A14))</f>
        <v>221.973278465021</v>
      </c>
      <c r="E14" s="49" t="n">
        <f aca="false">IF(ROUND(($B$4*(1+E$10)*(1-$B$7)-$B$5-$B$6-$A14),0)&lt;=0,"убыток",$B$8/($B$4*(1+E$10)*(1-$B$7)-$B$5-$B$6-$A14))</f>
        <v>163.498018957018</v>
      </c>
      <c r="F14" s="49" t="n">
        <f aca="false">IF(ROUND(($B$4*(1+F$10)*(1-$B$7)-$B$5-$B$6-$A14),0)&lt;=0,"убыток",$B$8/($B$4*(1+F$10)*(1-$B$7)-$B$5-$B$6-$A14))</f>
        <v>129.407667990469</v>
      </c>
      <c r="G14" s="49" t="n">
        <f aca="false">IF(ROUND(($B$4*(1+G$10)*(1-$B$7)-$B$5-$B$6-$A14),0)&lt;=0,"убыток",$B$8/($B$4*(1+G$10)*(1-$B$7)-$B$5-$B$6-$A14))</f>
        <v>107.080681734829</v>
      </c>
      <c r="H14" s="49" t="n">
        <f aca="false">IF(ROUND(($B$4*(1+H$10)*(1-$B$7)-$B$5-$B$6-$A14),0)&lt;=0,"убыток",$B$8/($B$4*(1+H$10)*(1-$B$7)-$B$5-$B$6-$A14))</f>
        <v>91.3243014852635</v>
      </c>
      <c r="I14" s="49" t="n">
        <f aca="false">IF(ROUND(($B$4*(1+I$10)*(1-$B$7)-$B$5-$B$6-$A14),0)&lt;=0,"убыток",$B$8/($B$4*(1+I$10)*(1-$B$7)-$B$5-$B$6-$A14))</f>
        <v>79.6100810620285</v>
      </c>
      <c r="J14" s="49" t="n">
        <f aca="false">IF(ROUND(($B$4*(1+J$10)*(1-$B$7)-$B$5-$B$6-$A14),0)&lt;=0,"убыток",$B$8/($B$4*(1+J$10)*(1-$B$7)-$B$5-$B$6-$A14))</f>
        <v>70.5593879794902</v>
      </c>
    </row>
    <row r="15" customFormat="false" ht="15" hidden="false" customHeight="false" outlineLevel="0" collapsed="false">
      <c r="A15" s="27" t="n">
        <f aca="false">$A$14+10000</f>
        <v>80000</v>
      </c>
      <c r="B15" s="49" t="n">
        <f aca="false">IF(ROUND(($B$4*(1+B$10)*(1-$B$7)-$B$5-$B$6-$A15),0)&lt;=0,"убыток",$B$8/($B$4*(1+B$10)*(1-$B$7)-$B$5-$B$6-$A15))</f>
        <v>1440.21477838272</v>
      </c>
      <c r="C15" s="49" t="n">
        <f aca="false">IF(ROUND(($B$4*(1+C$10)*(1-$B$7)-$B$5-$B$6-$A15),0)&lt;=0,"убыток",$B$8/($B$4*(1+C$10)*(1-$B$7)-$B$5-$B$6-$A15))</f>
        <v>433.731060463513</v>
      </c>
      <c r="D15" s="49" t="n">
        <f aca="false">IF(ROUND(($B$4*(1+D$10)*(1-$B$7)-$B$5-$B$6-$A15),0)&lt;=0,"убыток",$B$8/($B$4*(1+D$10)*(1-$B$7)-$B$5-$B$6-$A15))</f>
        <v>255.309709826248</v>
      </c>
      <c r="E15" s="49" t="n">
        <f aca="false">IF(ROUND(($B$4*(1+E$10)*(1-$B$7)-$B$5-$B$6-$A15),0)&lt;=0,"убыток",$B$8/($B$4*(1+E$10)*(1-$B$7)-$B$5-$B$6-$A15))</f>
        <v>180.895720055148</v>
      </c>
      <c r="F15" s="49" t="n">
        <f aca="false">IF(ROUND(($B$4*(1+F$10)*(1-$B$7)-$B$5-$B$6-$A15),0)&lt;=0,"убыток",$B$8/($B$4*(1+F$10)*(1-$B$7)-$B$5-$B$6-$A15))</f>
        <v>140.070106736305</v>
      </c>
      <c r="G15" s="49" t="n">
        <f aca="false">IF(ROUND(($B$4*(1+G$10)*(1-$B$7)-$B$5-$B$6-$A15),0)&lt;=0,"убыток",$B$8/($B$4*(1+G$10)*(1-$B$7)-$B$5-$B$6-$A15))</f>
        <v>114.278957422316</v>
      </c>
      <c r="H15" s="49" t="n">
        <f aca="false">IF(ROUND(($B$4*(1+H$10)*(1-$B$7)-$B$5-$B$6-$A15),0)&lt;=0,"убыток",$B$8/($B$4*(1+H$10)*(1-$B$7)-$B$5-$B$6-$A15))</f>
        <v>96.5087697093261</v>
      </c>
      <c r="I15" s="49" t="n">
        <f aca="false">IF(ROUND(($B$4*(1+I$10)*(1-$B$7)-$B$5-$B$6-$A15),0)&lt;=0,"убыток",$B$8/($B$4*(1+I$10)*(1-$B$7)-$B$5-$B$6-$A15))</f>
        <v>83.5213402797213</v>
      </c>
      <c r="J15" s="49" t="n">
        <f aca="false">IF(ROUND(($B$4*(1+J$10)*(1-$B$7)-$B$5-$B$6-$A15),0)&lt;=0,"убыток",$B$8/($B$4*(1+J$10)*(1-$B$7)-$B$5-$B$6-$A15))</f>
        <v>73.6148090824826</v>
      </c>
    </row>
    <row r="16" customFormat="false" ht="15" hidden="false" customHeight="false" outlineLevel="0" collapsed="false">
      <c r="A16" s="27" t="n">
        <f aca="false">$A$14+20000</f>
        <v>90000</v>
      </c>
      <c r="B16" s="49" t="n">
        <f aca="false">IF(ROUND(($B$4*(1+B$10)*(1-$B$7)-$B$5-$B$6-$A16),0)&lt;=0,"убыток",$B$8/($B$4*(1+B$10)*(1-$B$7)-$B$5-$B$6-$A16))</f>
        <v>9424.57430029474</v>
      </c>
      <c r="C16" s="49" t="n">
        <f aca="false">IF(ROUND(($B$4*(1+C$10)*(1-$B$7)-$B$5-$B$6-$A16),0)&lt;=0,"убыток",$B$8/($B$4*(1+C$10)*(1-$B$7)-$B$5-$B$6-$A16))</f>
        <v>582.295577002682</v>
      </c>
      <c r="D16" s="49" t="n">
        <f aca="false">IF(ROUND(($B$4*(1+D$10)*(1-$B$7)-$B$5-$B$6-$A16),0)&lt;=0,"убыток",$B$8/($B$4*(1+D$10)*(1-$B$7)-$B$5-$B$6-$A16))</f>
        <v>300.428756015534</v>
      </c>
      <c r="E16" s="49" t="n">
        <f aca="false">IF(ROUND(($B$4*(1+E$10)*(1-$B$7)-$B$5-$B$6-$A16),0)&lt;=0,"убыток",$B$8/($B$4*(1+E$10)*(1-$B$7)-$B$5-$B$6-$A16))</f>
        <v>202.436875567828</v>
      </c>
      <c r="F16" s="49" t="n">
        <f aca="false">IF(ROUND(($B$4*(1+F$10)*(1-$B$7)-$B$5-$B$6-$A16),0)&lt;=0,"убыток",$B$8/($B$4*(1+F$10)*(1-$B$7)-$B$5-$B$6-$A16))</f>
        <v>152.647360935897</v>
      </c>
      <c r="G16" s="49" t="n">
        <f aca="false">IF(ROUND(($B$4*(1+G$10)*(1-$B$7)-$B$5-$B$6-$A16),0)&lt;=0,"убыток",$B$8/($B$4*(1+G$10)*(1-$B$7)-$B$5-$B$6-$A16))</f>
        <v>122.514756632183</v>
      </c>
      <c r="H16" s="49" t="n">
        <f aca="false">IF(ROUND(($B$4*(1+H$10)*(1-$B$7)-$B$5-$B$6-$A16),0)&lt;=0,"убыток",$B$8/($B$4*(1+H$10)*(1-$B$7)-$B$5-$B$6-$A16))</f>
        <v>102.317309509771</v>
      </c>
      <c r="I16" s="49" t="n">
        <f aca="false">IF(ROUND(($B$4*(1+I$10)*(1-$B$7)-$B$5-$B$6-$A16),0)&lt;=0,"убыток",$B$8/($B$4*(1+I$10)*(1-$B$7)-$B$5-$B$6-$A16))</f>
        <v>87.8367788041793</v>
      </c>
      <c r="J16" s="49" t="n">
        <f aca="false">IF(ROUND(($B$4*(1+J$10)*(1-$B$7)-$B$5-$B$6-$A16),0)&lt;=0,"убыток",$B$8/($B$4*(1+J$10)*(1-$B$7)-$B$5-$B$6-$A16))</f>
        <v>76.9468242450119</v>
      </c>
    </row>
    <row r="17" customFormat="false" ht="15" hidden="false" customHeight="false" outlineLevel="0" collapsed="false">
      <c r="A17" s="27" t="n">
        <f aca="false">$A$14+30000</f>
        <v>100000</v>
      </c>
      <c r="B17" s="49" t="str">
        <f aca="false">IF(ROUND(($B$4*(1+B$10)*(1-$B$7)-$B$5-$B$6-$A17),0)&lt;=0,"убыток",$B$8/($B$4*(1+B$10)*(1-$B$7)-$B$5-$B$6-$A17))</f>
        <v>убыток</v>
      </c>
      <c r="C17" s="49" t="n">
        <f aca="false">IF(ROUND(($B$4*(1+C$10)*(1-$B$7)-$B$5-$B$6-$A17),0)&lt;=0,"убыток",$B$8/($B$4*(1+C$10)*(1-$B$7)-$B$5-$B$6-$A17))</f>
        <v>885.656762679675</v>
      </c>
      <c r="D17" s="49" t="n">
        <f aca="false">IF(ROUND(($B$4*(1+D$10)*(1-$B$7)-$B$5-$B$6-$A17),0)&lt;=0,"убыток",$B$8/($B$4*(1+D$10)*(1-$B$7)-$B$5-$B$6-$A17))</f>
        <v>364.918104327725</v>
      </c>
      <c r="E17" s="49" t="n">
        <f aca="false">IF(ROUND(($B$4*(1+E$10)*(1-$B$7)-$B$5-$B$6-$A17),0)&lt;=0,"убыток",$B$8/($B$4*(1+E$10)*(1-$B$7)-$B$5-$B$6-$A17))</f>
        <v>229.801791223856</v>
      </c>
      <c r="F17" s="49" t="n">
        <f aca="false">IF(ROUND(($B$4*(1+F$10)*(1-$B$7)-$B$5-$B$6-$A17),0)&lt;=0,"убыток",$B$8/($B$4*(1+F$10)*(1-$B$7)-$B$5-$B$6-$A17))</f>
        <v>167.706124020948</v>
      </c>
      <c r="G17" s="49" t="n">
        <f aca="false">IF(ROUND(($B$4*(1+G$10)*(1-$B$7)-$B$5-$B$6-$A17),0)&lt;=0,"убыток",$B$8/($B$4*(1+G$10)*(1-$B$7)-$B$5-$B$6-$A17))</f>
        <v>132.029815905003</v>
      </c>
      <c r="H17" s="49" t="n">
        <f aca="false">IF(ROUND(($B$4*(1+H$10)*(1-$B$7)-$B$5-$B$6-$A17),0)&lt;=0,"убыток",$B$8/($B$4*(1+H$10)*(1-$B$7)-$B$5-$B$6-$A17))</f>
        <v>108.869819521697</v>
      </c>
      <c r="I17" s="49" t="n">
        <f aca="false">IF(ROUND(($B$4*(1+I$10)*(1-$B$7)-$B$5-$B$6-$A17),0)&lt;=0,"убыток",$B$8/($B$4*(1+I$10)*(1-$B$7)-$B$5-$B$6-$A17))</f>
        <v>92.6224603091645</v>
      </c>
      <c r="J17" s="49" t="n">
        <f aca="false">IF(ROUND(($B$4*(1+J$10)*(1-$B$7)-$B$5-$B$6-$A17),0)&lt;=0,"убыток",$B$8/($B$4*(1+J$10)*(1-$B$7)-$B$5-$B$6-$A17))</f>
        <v>80.5947723528357</v>
      </c>
    </row>
    <row r="18" customFormat="false" ht="15" hidden="false" customHeight="false" outlineLevel="0" collapsed="false">
      <c r="A18" s="27" t="n">
        <f aca="false">$A$14+40000</f>
        <v>110000</v>
      </c>
      <c r="B18" s="49" t="str">
        <f aca="false">IF(ROUND(($B$4*(1+B$10)*(1-$B$7)-$B$5-$B$6-$A18),0)&lt;=0,"убыток",$B$8/($B$4*(1+B$10)*(1-$B$7)-$B$5-$B$6-$A18))</f>
        <v>убыток</v>
      </c>
      <c r="C18" s="49" t="n">
        <f aca="false">IF(ROUND(($B$4*(1+C$10)*(1-$B$7)-$B$5-$B$6-$A18),0)&lt;=0,"убыток",$B$8/($B$4*(1+C$10)*(1-$B$7)-$B$5-$B$6-$A18))</f>
        <v>1848.87210644718</v>
      </c>
      <c r="D18" s="49" t="n">
        <f aca="false">IF(ROUND(($B$4*(1+D$10)*(1-$B$7)-$B$5-$B$6-$A18),0)&lt;=0,"убыток",$B$8/($B$4*(1+D$10)*(1-$B$7)-$B$5-$B$6-$A18))</f>
        <v>464.661216190601</v>
      </c>
      <c r="E18" s="49" t="n">
        <f aca="false">IF(ROUND(($B$4*(1+E$10)*(1-$B$7)-$B$5-$B$6-$A18),0)&lt;=0,"убыток",$B$8/($B$4*(1+E$10)*(1-$B$7)-$B$5-$B$6-$A18))</f>
        <v>265.721344746951</v>
      </c>
      <c r="F18" s="49" t="n">
        <f aca="false">IF(ROUND(($B$4*(1+F$10)*(1-$B$7)-$B$5-$B$6-$A18),0)&lt;=0,"убыток",$B$8/($B$4*(1+F$10)*(1-$B$7)-$B$5-$B$6-$A18))</f>
        <v>186.061182717609</v>
      </c>
      <c r="G18" s="49" t="n">
        <f aca="false">IF(ROUND(($B$4*(1+G$10)*(1-$B$7)-$B$5-$B$6-$A18),0)&lt;=0,"убыток",$B$8/($B$4*(1+G$10)*(1-$B$7)-$B$5-$B$6-$A18))</f>
        <v>143.147292796294</v>
      </c>
      <c r="H18" s="49" t="n">
        <f aca="false">IF(ROUND(($B$4*(1+H$10)*(1-$B$7)-$B$5-$B$6-$A18),0)&lt;=0,"убыток",$B$8/($B$4*(1+H$10)*(1-$B$7)-$B$5-$B$6-$A18))</f>
        <v>116.319013653081</v>
      </c>
      <c r="I18" s="49" t="n">
        <f aca="false">IF(ROUND(($B$4*(1+I$10)*(1-$B$7)-$B$5-$B$6-$A18),0)&lt;=0,"убыток",$B$8/($B$4*(1+I$10)*(1-$B$7)-$B$5-$B$6-$A18))</f>
        <v>97.9596757062223</v>
      </c>
      <c r="J18" s="49" t="n">
        <f aca="false">IF(ROUND(($B$4*(1+J$10)*(1-$B$7)-$B$5-$B$6-$A18),0)&lt;=0,"убыток",$B$8/($B$4*(1+J$10)*(1-$B$7)-$B$5-$B$6-$A18))</f>
        <v>84.6058235830721</v>
      </c>
    </row>
    <row r="19" customFormat="false" ht="15" hidden="false" customHeight="false" outlineLevel="0" collapsed="false">
      <c r="A19" s="27" t="n">
        <f aca="false">$A$14+50000</f>
        <v>120000</v>
      </c>
      <c r="B19" s="49" t="str">
        <f aca="false">IF(ROUND(($B$4*(1+B$10)*(1-$B$7)-$B$5-$B$6-$A19),0)&lt;=0,"убыток",$B$8/($B$4*(1+B$10)*(1-$B$7)-$B$5-$B$6-$A19))</f>
        <v>убыток</v>
      </c>
      <c r="C19" s="49" t="str">
        <f aca="false">IF(ROUND(($B$4*(1+C$10)*(1-$B$7)-$B$5-$B$6-$A19),0)&lt;=0,"убыток",$B$8/($B$4*(1+C$10)*(1-$B$7)-$B$5-$B$6-$A19))</f>
        <v>убыток</v>
      </c>
      <c r="D19" s="49" t="n">
        <f aca="false">IF(ROUND(($B$4*(1+D$10)*(1-$B$7)-$B$5-$B$6-$A19),0)&lt;=0,"убыток",$B$8/($B$4*(1+D$10)*(1-$B$7)-$B$5-$B$6-$A19))</f>
        <v>639.439219327465</v>
      </c>
      <c r="E19" s="49" t="n">
        <f aca="false">IF(ROUND(($B$4*(1+E$10)*(1-$B$7)-$B$5-$B$6-$A19),0)&lt;=0,"убыток",$B$8/($B$4*(1+E$10)*(1-$B$7)-$B$5-$B$6-$A19))</f>
        <v>314.950155895696</v>
      </c>
      <c r="F19" s="49" t="n">
        <f aca="false">IF(ROUND(($B$4*(1+F$10)*(1-$B$7)-$B$5-$B$6-$A19),0)&lt;=0,"убыток",$B$8/($B$4*(1+F$10)*(1-$B$7)-$B$5-$B$6-$A19))</f>
        <v>208.927868820828</v>
      </c>
      <c r="G19" s="49" t="n">
        <f aca="false">IF(ROUND(($B$4*(1+G$10)*(1-$B$7)-$B$5-$B$6-$A19),0)&lt;=0,"убыток",$B$8/($B$4*(1+G$10)*(1-$B$7)-$B$5-$B$6-$A19))</f>
        <v>156.30919779867</v>
      </c>
      <c r="H19" s="49" t="n">
        <f aca="false">IF(ROUND(($B$4*(1+H$10)*(1-$B$7)-$B$5-$B$6-$A19),0)&lt;=0,"убыток",$B$8/($B$4*(1+H$10)*(1-$B$7)-$B$5-$B$6-$A19))</f>
        <v>124.862472249775</v>
      </c>
      <c r="I19" s="49" t="n">
        <f aca="false">IF(ROUND(($B$4*(1+I$10)*(1-$B$7)-$B$5-$B$6-$A19),0)&lt;=0,"убыток",$B$8/($B$4*(1+I$10)*(1-$B$7)-$B$5-$B$6-$A19))</f>
        <v>103.949598630727</v>
      </c>
      <c r="J19" s="49" t="n">
        <f aca="false">IF(ROUND(($B$4*(1+J$10)*(1-$B$7)-$B$5-$B$6-$A19),0)&lt;=0,"убыток",$B$8/($B$4*(1+J$10)*(1-$B$7)-$B$5-$B$6-$A19))</f>
        <v>89.0370302128045</v>
      </c>
    </row>
    <row r="21" customFormat="false" ht="15" hidden="false" customHeight="false" outlineLevel="0" collapsed="false">
      <c r="A21" s="2" t="s">
        <v>248</v>
      </c>
    </row>
    <row r="22" customFormat="false" ht="15" hidden="false" customHeight="false" outlineLevel="0" collapsed="false">
      <c r="A22" s="2" t="s">
        <v>249</v>
      </c>
    </row>
    <row r="23" customFormat="false" ht="15" hidden="false" customHeight="false" outlineLevel="0" collapsed="false">
      <c r="A23" s="2" t="s">
        <v>250</v>
      </c>
    </row>
    <row r="24" customFormat="false" ht="15" hidden="false" customHeight="false" outlineLevel="0" collapsed="false">
      <c r="A24" s="2" t="s">
        <v>251</v>
      </c>
    </row>
  </sheetData>
  <conditionalFormatting sqref="B11:J19">
    <cfRule type="colorScale" priority="2">
      <colorScale>
        <cfvo type="num" val="80"/>
        <cfvo type="num" val="150"/>
        <cfvo type="num" val="300"/>
        <color rgb="FFC6EFCE"/>
        <color rgb="FFFFEB9C"/>
        <color rgb="FFFFC7CE"/>
      </colorScale>
    </cfRule>
    <cfRule type="expression" priority="3" aboveAverage="0" equalAverage="0" bottom="0" percent="0" rank="0" text="" dxfId="2">
      <formula>B11="убыток"</formula>
    </cfRule>
    <cfRule type="expression" priority="4" aboveAverage="0" equalAverage="0" bottom="0" percent="0" rank="0" text="" dxfId="3">
      <formula>AND(B$10=0,$A11=$A$14)</formula>
    </cfRule>
    <cfRule type="expression" priority="5" aboveAverage="0" equalAverage="0" bottom="0" percent="0" rank="0" text="" dxfId="4">
      <formula>AND(ISNUMBER(B11),B11*$B$4*(1+B$10)*12&gt;1000000000)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2026-10-04T18:54:39Z</dcterms:created>
  <dc:creator>openpyxl</dc:creator>
  <dc:description/>
  <dc:language>en-US</dc:language>
  <cp:lastModifiedBy/>
  <dcterms:modified xsi:type="dcterms:W3CDTF">2026-10-04T18:54:39Z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